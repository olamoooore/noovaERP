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egister" sheetId="1" r:id="rId5"/>
    <sheet state="visible" name="Dashboard" sheetId="2" r:id="rId6"/>
    <sheet state="visible" name="Evidence Checklist" sheetId="3" r:id="rId7"/>
    <sheet state="visible" name="Status Guide" sheetId="4" r:id="rId8"/>
    <sheet state="visible" name="Release Review" sheetId="5" r:id="rId9"/>
  </sheets>
  <definedNames>
    <definedName hidden="1" localSheetId="0" name="_xlnm._FilterDatabase">'Master Register'!$A$4:$V$19</definedName>
  </definedNames>
  <calcPr/>
</workbook>
</file>

<file path=xl/sharedStrings.xml><?xml version="1.0" encoding="utf-8"?>
<sst xmlns="http://schemas.openxmlformats.org/spreadsheetml/2006/main" count="902" uniqueCount="588">
  <si>
    <t>Evidence Checklist — Minimum Closure Pack</t>
  </si>
  <si>
    <t>ACC-REM-001 Dashboard</t>
  </si>
  <si>
    <t>ACC-REM-001 — ADR-005 Accounting Architecture Remediation &amp; Evidence Register</t>
  </si>
  <si>
    <t>Status &amp; Acceptance Guide</t>
  </si>
  <si>
    <t>Metric</t>
  </si>
  <si>
    <t>Status</t>
  </si>
  <si>
    <t>Evidence Type</t>
  </si>
  <si>
    <t>Purpose: controlled issue register for systematic remediation and independent evidence-based acceptance against ACC-REG-001 v1.0 and ADR-005 v1.0. Baseline repository: olamoooore/Ace-ERC.</t>
  </si>
  <si>
    <t>Value</t>
  </si>
  <si>
    <t>Interpretation</t>
  </si>
  <si>
    <t>Total Issues</t>
  </si>
  <si>
    <t>CONTROL NOTE: Observed / Affected Files are the minimum mandatory inspection scope, not a whitelist of files to patch. Engineer must complete dependency tracing across callers, models, migrations, APIs, jobs/listeners/events and tests before implementation. Any additional affected path must be recorded.</t>
  </si>
  <si>
    <t>Meaning</t>
  </si>
  <si>
    <t>Set By</t>
  </si>
  <si>
    <t>Exit Criteria</t>
  </si>
  <si>
    <t>Allowed Next State</t>
  </si>
  <si>
    <t>Control Rule</t>
  </si>
  <si>
    <t>OPEN</t>
  </si>
  <si>
    <t>Issue ID</t>
  </si>
  <si>
    <t>Issue confirmed and not yet started.</t>
  </si>
  <si>
    <t>Reviewer / Lead</t>
  </si>
  <si>
    <t>Engineer accepts scope and begins implementation.</t>
  </si>
  <si>
    <t>IN_PROGRESS / DEFERRED</t>
  </si>
  <si>
    <t>Cannot be marked complete.</t>
  </si>
  <si>
    <t>Workstream</t>
  </si>
  <si>
    <t>Capability</t>
  </si>
  <si>
    <t>IN_PROGRESS</t>
  </si>
  <si>
    <t>Severity</t>
  </si>
  <si>
    <t>Mandatory</t>
  </si>
  <si>
    <t>Engineer actively remediating.</t>
  </si>
  <si>
    <t>Architecture Requirement</t>
  </si>
  <si>
    <t>Engineer</t>
  </si>
  <si>
    <t>Issue Found</t>
  </si>
  <si>
    <t>Requirement</t>
  </si>
  <si>
    <t>Required evidence pack complete.</t>
  </si>
  <si>
    <t>Repository Evidence / Source</t>
  </si>
  <si>
    <t>EVIDENCE_SUBMITTED</t>
  </si>
  <si>
    <t>Observed / Affected Files</t>
  </si>
  <si>
    <t>Submission Format</t>
  </si>
  <si>
    <t>Implementation claim alone is insufficient.</t>
  </si>
  <si>
    <t>Minimum Dependency Trace</t>
  </si>
  <si>
    <t>Acceptance Rule</t>
  </si>
  <si>
    <t>Dependency Trace Status</t>
  </si>
  <si>
    <t>Applies To</t>
  </si>
  <si>
    <t>Engineer has submitted complete repository evidence.</t>
  </si>
  <si>
    <t>Engineer Changed Files</t>
  </si>
  <si>
    <t>Reviewer Check</t>
  </si>
  <si>
    <t>Engineer Added / Changed Tests</t>
  </si>
  <si>
    <t>Independent review begins.</t>
  </si>
  <si>
    <t>Notes</t>
  </si>
  <si>
    <t>Required Remediation</t>
  </si>
  <si>
    <t>HOSTILE_REVIEW</t>
  </si>
  <si>
    <t>Acceptance Evidence</t>
  </si>
  <si>
    <t>No self-acceptance.</t>
  </si>
  <si>
    <t>Owner</t>
  </si>
  <si>
    <t>Target Commit / PR</t>
  </si>
  <si>
    <t>Independent code/test/evidence verification in progress.</t>
  </si>
  <si>
    <t>Engineer Status</t>
  </si>
  <si>
    <t>Independent Reviewer</t>
  </si>
  <si>
    <t>Evidence Submitted</t>
  </si>
  <si>
    <t>All acceptance criteria verified or a defect identified.</t>
  </si>
  <si>
    <t>Hostile Review</t>
  </si>
  <si>
    <t>ACCEPTED / REJECTED</t>
  </si>
  <si>
    <t>Final Verdict</t>
  </si>
  <si>
    <t>Review against exact commit SHA.</t>
  </si>
  <si>
    <t>Reviewer Notes</t>
  </si>
  <si>
    <t>Last Updated</t>
  </si>
  <si>
    <t>REJECTED</t>
  </si>
  <si>
    <t>Evidence or implementation failed acceptance.</t>
  </si>
  <si>
    <t>ACC-RM-001</t>
  </si>
  <si>
    <t>Engineer reopens remediation against reviewer findings.</t>
  </si>
  <si>
    <t>Commit / PR identity</t>
  </si>
  <si>
    <t>Wave A — Accounting Authority</t>
  </si>
  <si>
    <t>Reviewer findings must remain recorded.</t>
  </si>
  <si>
    <t>ACC-002</t>
  </si>
  <si>
    <t>P0</t>
  </si>
  <si>
    <t>YES</t>
  </si>
  <si>
    <t>ACCEPTED</t>
  </si>
  <si>
    <t>Operational domains submit business facts via DomainPostingRequest; Posting Policy Mapper derives authoritative accounting lines.</t>
  </si>
  <si>
    <t>Exact commit SHA and PR/branch used as claimed implementation baseline.</t>
  </si>
  <si>
    <t>Requirement independently verified against evidence.</t>
  </si>
  <si>
    <t>Operational/domain services construct explicit DR/CR PostingRequestLine[] and therefore own journal recipes outside ACC-002.</t>
  </si>
  <si>
    <t>SHA + PR link/number</t>
  </si>
  <si>
    <t>Must identify immutable code baseline.</t>
  </si>
  <si>
    <t>Terminal unless later regression/change.</t>
  </si>
  <si>
    <t>All issues</t>
  </si>
  <si>
    <t>OPEN only via controlled regression/review</t>
  </si>
  <si>
    <t>PostingRequest.php; PostingRequestLine.php; PostingEngine.php::validateRequest()/resolveLines(); AccountRoleResolver.php; key posting services across AR/AP/OCR/POS/Ecommerce/HRM/FX/Fixed Assets; related posting tests. Validation confirmed operational callers can construct DR/CR lines and supply accountId, with explicit accountId taking priority over central mapping. No DomainPostingRequest, PostingPolicyMapper, posting_profile_code or JournalPostingRequest was found. IntercompanyPostingService exists but no active caller was found.</t>
  </si>
  <si>
    <t>No screenshot/AI claim can set ACCEPTED.</t>
  </si>
  <si>
    <t>DEFERRED</t>
  </si>
  <si>
    <t>Explicitly postponed with approved reason and owner.</t>
  </si>
  <si>
    <t>Architecture Lead / Product Owner</t>
  </si>
  <si>
    <t>PostingRequest.php; PostingRequestLine.php; PostingEngine.php; AccountRoleResolver.php; InvoiceService.php; AccountingOriginBillService.php; AccountingOriginInvoiceService.php; BillPaymentService.php; VendorBillService.php; credit/debit-note services; BankReconciliationService.php; FxRevaluationService.php; DepreciationService.php; PaymentRefundService.php; OcrPostingService.php; PosPostingService.php; WebOrderPostingService.php; PayrollJournalService.php; ManualJournalPostingService.php; PaymentTransactionCompletionService.php; IntercompanyPostingService.php; JournalEntry/JournalEntryLine/JournalEntryLink; PostingAuditLog; related routes, migrations and tests.</t>
  </si>
  <si>
    <t>Trigger/date/scope reached.</t>
  </si>
  <si>
    <t>P0 cannot be deferred for ADR-005 implementation conformance/release acceptance without an explicit architecture decision.</t>
  </si>
  <si>
    <t>Trace every PostingRequest/PostingRequestLine caller; manual journals; posting profiles/config; account/tax/control mapping; APIs/controllers/routes; models/migrations/constraints; jobs/listeners/observers/events; permissions/RBAC; frontend triggers; tests; direct DB bypass paths; inactive/dead code and contradictory implementations. Prove whether operational callers can control DR/CR, accountId/accountMappingKey, tax account, journal and posting date, and whether explicit accountId overrides central mapping.</t>
  </si>
  <si>
    <t>DEPENDENCY TRACE STATUS</t>
  </si>
  <si>
    <t>NOT REVIEWED</t>
  </si>
  <si>
    <t>Changed paths</t>
  </si>
  <si>
    <t>List every changed production/test/migration file relevant to the remediation.</t>
  </si>
  <si>
    <t>Repository paths</t>
  </si>
  <si>
    <t>No unexplained implementation path.</t>
  </si>
  <si>
    <t>PARTIAL</t>
  </si>
  <si>
    <t>NOT STARTED</t>
  </si>
  <si>
    <t/>
  </si>
  <si>
    <t>Required caller/dependency discovery has not begun.</t>
  </si>
  <si>
    <t>Engineer / Reviewer</t>
  </si>
  <si>
    <t>Schema / migration</t>
  </si>
  <si>
    <t>Introduce governed DomainPostingRequest + versioned posting_profile_code + central Posting Policy Mapper. Restrict explicit line posting to authorised JournalPostingRequest/manual journal paths.</t>
  </si>
  <si>
    <t>Repository trace begins against exact branch/SHA.</t>
  </si>
  <si>
    <t>DTO/API contract; policy schema/versioning; migrated callers; positive posting tests; negative test proving operational caller cannot submit arbitrary GL lines; compatibility/migration evidence.</t>
  </si>
  <si>
    <t>Discovery only</t>
  </si>
  <si>
    <t>No implementation claim may rely on an untraced path.</t>
  </si>
  <si>
    <t>IN PROGRESS</t>
  </si>
  <si>
    <t>Dependency/caller discovery is actively being performed.</t>
  </si>
  <si>
    <t>All required dependency classes are classified.</t>
  </si>
  <si>
    <t>Discovery; narrow implementation only where trace already proves boundary</t>
  </si>
  <si>
    <t>New callers found must be added to the inventory, not silently ignored.</t>
  </si>
  <si>
    <t>Defect may be validated, but required caller/dependency discovery remains materially incomplete.</t>
  </si>
  <si>
    <t>Reviewer / Engineer</t>
  </si>
  <si>
    <t>Controlled remediation items in register</t>
  </si>
  <si>
    <t>Engineer completes missing trace and records final dispositions.</t>
  </si>
  <si>
    <t>Implementation may begin only after the engineer closes the missing trace relevant to the changed path; EVIDENCE_SUBMITTED is prohibited while material trace remains partial.</t>
  </si>
  <si>
    <t>NO</t>
  </si>
  <si>
    <t>P0 Critical</t>
  </si>
  <si>
    <t>WHEN APPLICABLE</t>
  </si>
  <si>
    <t>An intern report is not required; engineer-owned discovery against the implementation SHA is authoritative evidence.</t>
  </si>
  <si>
    <t>Forward migration, backfill and compatibility/rollback strategy.</t>
  </si>
  <si>
    <t>COMPLETE WITH UNRESOLVED EVIDENCE</t>
  </si>
  <si>
    <t>Migration path + SQL/schema diff</t>
  </si>
  <si>
    <t>No destructive/unscoped migration; existing data handled.</t>
  </si>
  <si>
    <t>Required dependency classes have been traced sufficiently to establish the defect/remediation boundary, but explicitly identified evidence remains unresolved.</t>
  </si>
  <si>
    <t>Schema issues</t>
  </si>
  <si>
    <t>Unresolved items are either resolved by engineer discovery or explicitly proven non-blocking and carried into acceptance evidence.</t>
  </si>
  <si>
    <t>API / DTO contract</t>
  </si>
  <si>
    <t>Controlled implementation permitted; unresolved evidence remains mandatory before acceptance where material.</t>
  </si>
  <si>
    <t>New/changed command, event, DTO and reason-code contracts.</t>
  </si>
  <si>
    <t>This state is not ACCEPTED and must not be used to hide an unknown implementation bypass.</t>
  </si>
  <si>
    <t>Contract + examples</t>
  </si>
  <si>
    <t>Must match ADR authority boundary and remain deterministic.</t>
  </si>
  <si>
    <t>COMPLETE</t>
  </si>
  <si>
    <t>Contract issues</t>
  </si>
  <si>
    <t>Required caller/dependency classes and contradictory implementations are classified for the claimed baseline.</t>
  </si>
  <si>
    <t>Positive automated tests</t>
  </si>
  <si>
    <t>Evidence pack references the completed inventory and exact SHA.</t>
  </si>
  <si>
    <t>Normal success path proving intended behavior.</t>
  </si>
  <si>
    <t>Eligible for EVIDENCE_SUBMITTED after implementation evidence is complete.</t>
  </si>
  <si>
    <t>Test file/method + execution output</t>
  </si>
  <si>
    <t>Executable; not screenshot-only.</t>
  </si>
  <si>
    <t>Complete trace does not mean remediation is accepted.</t>
  </si>
  <si>
    <t>NOT ACCEPTED</t>
  </si>
  <si>
    <t>BLOCKED</t>
  </si>
  <si>
    <t>Negative automated tests</t>
  </si>
  <si>
    <t>Trace cannot be completed because a required authority, environment, dependency or decision is unavailable.</t>
  </si>
  <si>
    <t>Intern Repository Gap Analysis V2 was rejected for evidence completion, but an intern V2.1 is NOT an implementation prerequisite. Core ACC-RM-001 finding remains VALIDATED. Engineer may independently complete the required caller/dependency discovery against the exact implementation branch/SHA before coding and must include the final caller inventory in the evidence pack. Dependency Trace remains PARTIAL until that engineer trace closes: complete PostingRequest/PostingRequestLine caller inventory including PaymentRefundService fallback; distinguish raw GL authority from business-reference-to-GL translation outside ACC-002; analyse fallback accounting-policy divergence; cross-link authorization to ACC-RM-019.</t>
  </si>
  <si>
    <t>Prohibited/invalid path must fail with expected canonical outcome/reason.</t>
  </si>
  <si>
    <t>Blocking dependency is resolved or explicit architecture decision is issued.</t>
  </si>
  <si>
    <t>At least one meaningful prohibited path per issue.</t>
  </si>
  <si>
    <t>Implementation must not guess across the blocked authority.</t>
  </si>
  <si>
    <t>P0 block requires escalation; absence of evidence is not permission to implement assumptions.</t>
  </si>
  <si>
    <t>ENGINEER DISCOVERY RULE</t>
  </si>
  <si>
    <t>Concurrency / idempotency</t>
  </si>
  <si>
    <t>The engineer is responsible for repository discovery/caller inventory on the exact implementation baseline even when prior reviewer or intern traces exist.</t>
  </si>
  <si>
    <t>Race, retry and duplicate-command behavior.</t>
  </si>
  <si>
    <t>Must be independently ACCEPTED before ADR-005 implementation conformance/release acceptance</t>
  </si>
  <si>
    <t>Final evidence pack contains immutable SHA, caller/reference inventory and remaining exceptions.</t>
  </si>
  <si>
    <t>Automated test + DB/result evidence</t>
  </si>
  <si>
    <t>Mandatory for every remediation item</t>
  </si>
  <si>
    <t>No duplicate authoritative effect.</t>
  </si>
  <si>
    <t>P1 High</t>
  </si>
  <si>
    <t>ACC-RM-002</t>
  </si>
  <si>
    <t>Prior reports accelerate discovery but never replace engineer accountability or independent hostile acceptance.</t>
  </si>
  <si>
    <t>Posting, reversal, close, payment, events</t>
  </si>
  <si>
    <t>Failure injection / atomicity</t>
  </si>
  <si>
    <t>Reversal Engine supports FULL_REVERSAL, PARTIAL_REVERSAL, CORRECT_AND_REPOST and component-aware reversal basis/lineage.</t>
  </si>
  <si>
    <t>Force failure between authoritative writes and verify all-or-nothing or designed recovery.</t>
  </si>
  <si>
    <t>Current reversal is a full mirror reversal by swapping debit/credit across all original lines; component-aware partial reversal contract is not implemented.</t>
  </si>
  <si>
    <t>Automated test + before/after DB state</t>
  </si>
  <si>
    <t>No partial authoritative state.</t>
  </si>
  <si>
    <t>Posting, reversal, close, outbox</t>
  </si>
  <si>
    <t>backend/app/Accounting/DTOs/ReversalRequest.php; backend/app/Accounting/PostingEngine.php::reverse(); DocumentCorrectionService.php; PaymentCorrectionService.php; InvoiceController.php::reverseJournalEntry(); PaymentRefundService.php; WebOrderPostingService.php; PayrollJournalService.php; OcrPostingService.php; PosPostingService.php; DocumentCorrectionPolicyService.php; correction models/migrations/tests. Review confirmed PostingEngine performs full mirror reversal only. No reversal_mode, reversal components or remaining reversible amount found. PaymentRefundService can track partial refund amounts but the GL reversal still reverses the full original journal. Active invoice reset-to-draft also creates reversal directly outside PostingEngine.</t>
  </si>
  <si>
    <t>Runtime trace</t>
  </si>
  <si>
    <t>ReversalRequest.php; PostingEngine.php; JournalEntry.php; JournalEntryLink.php; PostingAuditLog.php; Payment.php; BillPayment.php; InvoiceController.php; JournalEntriesController.php; DocumentCorrectionsController.php; PaymentCorrectionsController.php; DocumentCorrectionService.php; PaymentCorrectionService.php; PaymentRefundService.php; AccountingAccessService.php; PaymentController.php; WebOrderPostingService.php; PosPostingService.php; PosSyncService.php; OcrPostingService.php; PayrollJournalService.php; correction/refund/journal-link migrations; PaymentRefundServiceTest.php; AFM001AccountingFailureModelTest.php; AuditFixesTest.php; WS06ChannelRuntimeConvergenceTest.php.</t>
  </si>
  <si>
    <t>Representative request/workflow trace including IDs, reason codes and resulting authoritative records.</t>
  </si>
  <si>
    <t>Sanitised request/response + trace IDs</t>
  </si>
  <si>
    <t>Must be reproducible from claimed baseline.</t>
  </si>
  <si>
    <t>Trace every reversal entry point and direct journal reversal path; full/partial/correct-and-repost behaviour; payment refund amount flow and remaining refundable state; invoice/bill/journal corrections; customer and bill-payment corrections; credit/debit-note correction paths; POS/Offline POS; Ecommerce; OCR; Payroll; manual journals; controllers/routes; permissions/RBAC; models/migrations/constraints; lineage/idempotency controls; tests; inactive/dead code; and contradictory reversal implementations. Prove whether requested partial amounts/components reach the reversal engine and identify any path bypassing PostingEngine::reverse().</t>
  </si>
  <si>
    <t>Audit / event evidence</t>
  </si>
  <si>
    <t>Audit transition and required authoritative event/outbox evidence.</t>
  </si>
  <si>
    <t>DB/event IDs + publisher evidence</t>
  </si>
  <si>
    <t>High-priority conformance/hardening items</t>
  </si>
  <si>
    <t>Implement reversal_mode, reversal_basis, reversal_components[], deterministic policy-derived components and component_remaining_reversible_amount.</t>
  </si>
  <si>
    <t>One authoritative publisher; retry/idempotency proven.</t>
  </si>
  <si>
    <t>Schema/DTO; component lineage persistence; full/partial/correct-and-repost tests; over-reversal negative tests; balanced-entry proof.</t>
  </si>
  <si>
    <t>Open</t>
  </si>
  <si>
    <t>Posting, reversal, close, finding, payment</t>
  </si>
  <si>
    <t>Caller / dependency inventory</t>
  </si>
  <si>
    <t>Engineer-owned repository discovery against exact implementation SHA; all authoritative callers, alternate mutation paths, bypasses, jobs/listeners/imports/integrations and dead/inactive paths classified.</t>
  </si>
  <si>
    <t>CALLER_REFERENCE_INVENTORY.md + final dispositions</t>
  </si>
  <si>
    <t>No unexplained caller or bypass remains for the changed authority.</t>
  </si>
  <si>
    <t>All issues; mandatory before EVIDENCE_SUBMITTED</t>
  </si>
  <si>
    <t>Intern Repository Gap Analysis V2 was rejected for evidence completion, but an intern V2.1 is NOT an implementation prerequisite. Core ACC-RM-002 finding remains VALIDATED. Engineer may independently complete reversal caller/dependency discovery against the exact implementation branch/SHA before coding and must include the final inventory in the evidence pack. Dependency Trace remains PARTIAL until closed: exact PaymentRefund branches; PaymentCorrection stale reverse signature; BillPayment-to-Payment type incompatibility; multi-payment settlement defect cross-linked ACC-RM-013; POS fail-open GL divergence cross-linked ACC-RM-003; authorization cross-linked ACC-RM-019.</t>
  </si>
  <si>
    <t>ACC-RM-003</t>
  </si>
  <si>
    <t>Prior reviewer/intern traces are inputs only; engineer owns the final inventory.</t>
  </si>
  <si>
    <t>Capacity / concurrency control</t>
  </si>
  <si>
    <t>Reversal posting, authoritative ReversalRelationship, component consumption, transition evidence and required outbox record commit or roll back together.</t>
  </si>
  <si>
    <t>Execution-time lock/reload/version/invariant revalidation for commands consuming balance, quantity, reversible amount, match capacity or lifecycle eligibility.</t>
  </si>
  <si>
    <t>Concurrent automated tests + before/after DB state</t>
  </si>
  <si>
    <t>Not yet started</t>
  </si>
  <si>
    <t>PROVEN P0. PostingEngine::reverse() is atomic only for reversal journal/lines/JournalEntryLink/PostingAuditLog. DocumentCorrectionService mutates document lifecycle and creates DocumentCorrectionLink after that transaction returns; those writes can fail independently after GL reversal. POS/offline refund paths also contain caught GL failures that can allow operational refund state to continue. No first-class ReversalRelationship/component-consumption/outbox authority is demonstrated.</t>
  </si>
  <si>
    <t>Exactly one valid effect; competing stale command returns canonical CONFLICT/BLOCKED outcome.</t>
  </si>
  <si>
    <t>ACC-RM-016 and related payment/reversal/close/reconciliation commands</t>
  </si>
  <si>
    <t>In Progress</t>
  </si>
  <si>
    <t>PostingEngine.php::reverse(); DocumentCorrectionService.php; DocumentCorrectionLink model/migrations; PaymentCorrectionService.php; PaymentRefundService.php; PosSyncService.php; WebOrderPostingService.php positive outer-transaction pattern; JournalEntryLink.php; PostingAuditLog.php; reversal/correction tests.</t>
  </si>
  <si>
    <t>PostingEngine.php; JournalEntry.php; JournalEntryLink.php; PostingAuditLog.php; ReversalRequest.php; DocumentCorrectionService.php; DocumentLifecycleService.php; DocumentVersionLinkService.php; DocumentCorrectionLink.php; DocumentCorrectionsController.php; PaymentCorrectionService.php; PaymentRefundService.php; PaymentCorrectionsController.php; InvoiceController.php; WebOrderPostingService.php; OcrPostingService.php; PosPostingService.php; PosOrderController.php; PosSyncService.php; PayrollJournalService.php; JournalEntryObserver.php; EventManagement outbox code; related correction migrations and reversal/atomicity tests.</t>
  </si>
  <si>
    <t>Include positive regression for existing correct locking controls.</t>
  </si>
  <si>
    <t>Trace reversal transaction end-to-end including journal/ledger/link/audit/event, retry/idempotency, migrations/constraints and failure handling. Prove no authoritative reversal artifact commits alone.</t>
  </si>
  <si>
    <t>Source confirmation / promotion idempotency</t>
  </si>
  <si>
    <t>Human-confirmed reviewed source version, atomic source claim, unique source-to-canonical destination and replay-safe canonical result.</t>
  </si>
  <si>
    <t>Promotion/retry/concurrency tests + lineage evidence</t>
  </si>
  <si>
    <t>No self-promotion, no duplicate canonical document, edit-after-review forces reconfirmation.</t>
  </si>
  <si>
    <t>Create one authoritative reversal command transaction that includes reversal journal/lines, ReversalRelationship, component consumption, document/payment lifecycle mutation, correction lineage, audit and required outbox record. Caller-specific side effects must either join the same transaction or use an explicit recoverable saga/state machine. Remove fail-open accounting divergence.</t>
  </si>
  <si>
    <t>ACC-RM-017; OCR/source-derived creation</t>
  </si>
  <si>
    <t>Failure injection after GL reversal, lifecycle mutation, lineage write, audit and outbox; all-or-nothing proof; POS/offline GL failure cannot return operational success; idempotent retry; no orphan reversal/document state; regression for WebOrder outer-transaction pattern.</t>
  </si>
  <si>
    <t>NEEDS_REVIEW or AI confidence never grants promotion authority.</t>
  </si>
  <si>
    <t>Import staging / commit evidence</t>
  </si>
  <si>
    <t>Durable file/batch/row staging, validation/mapping/review/preview state and explicit idempotent commit through canonical domain commands.</t>
  </si>
  <si>
    <t>Batch/row records + preview/commit tests + restart/retry evidence</t>
  </si>
  <si>
    <t>Before commit, authoritative live mutations are zero; partial failure is truthful/recoverable.</t>
  </si>
  <si>
    <t>ACC-RM-018 and domain imports</t>
  </si>
  <si>
    <t>Engineer actively remediating</t>
  </si>
  <si>
    <t>Reuse shared staging authority; no domain-local parallel import engine.</t>
  </si>
  <si>
    <t>Approval / SoD / stale-decision evidence</t>
  </si>
  <si>
    <t>VALIDATED P0 at immutable trace baseline 5bb8de27d7c9e47cb312c240dc1119d42fba5a3a. Central journal reversal atomicity is a positive control but does not cover document/payment lineage. Engineer must complete final caller inventory against implementation SHA before EVIDENCE_SUBMITTED. Cross-link ACC-RM-002, 012, 013 and 016.</t>
  </si>
  <si>
    <t>Authoritative approval decision, approver eligibility/quorum/SoD, document/version binding and execution-time permission revalidation.</t>
  </si>
  <si>
    <t>Decision records + RBAC matrix + negative tests</t>
  </si>
  <si>
    <t>ACC-RM-004</t>
  </si>
  <si>
    <t>Write permission alone cannot post/close/reverse; self-approval and stale approval fail.</t>
  </si>
  <si>
    <t>Wave C — Platform Hardening</t>
  </si>
  <si>
    <t>ACC-RM-014, ACC-RM-019 and related close/posting commands</t>
  </si>
  <si>
    <t>Shared RBAC/Approval remains authority; no Accounting-local substitute.</t>
  </si>
  <si>
    <t>Reconciliation source / match lifecycle</t>
  </si>
  <si>
    <t>Durable statement/source identity, one match lifecycle, account/date authority, human confirmation, completion/reopen lineage and concurrency-safe amount conservation.</t>
  </si>
  <si>
    <t>Statement→match→GL→journal→source evidence + concurrency tests</t>
  </si>
  <si>
    <t>No split-brain reconciled state; completed reconciliation immutable except governed reopen/supersede.</t>
  </si>
  <si>
    <t>ACC-RM-020</t>
  </si>
  <si>
    <t>ACC-001</t>
  </si>
  <si>
    <t>Awaiting hostile review</t>
  </si>
  <si>
    <t>P1</t>
  </si>
  <si>
    <t>Preserve proven unique GL-line and matching controls.</t>
  </si>
  <si>
    <t>Accepted</t>
  </si>
  <si>
    <t>Accounting-period authority must support legal-entity/accounting-book context where applicable.</t>
  </si>
  <si>
    <t>Event / outbox runtime evidence</t>
  </si>
  <si>
    <t>VALIDATED. FiscalPeriod authority is tenant-schema scoped but does not carry demonstrated legal_entity_id/entity_book_id while posting and close commands already carry entity/book context. Tenant isolation itself is not the defect; the unresolved design question is the canonical period scope policy and migration/backfill strategy.</t>
  </si>
  <si>
    <t>FiscalPeriod model/migration; FiscalPeriodsController.php; FiscalPeriodValidator.php; PostingRequest.php; PostingEngine.php; FinancialCloseCycleService.php; CloseCycle.php; entity/book models; MultiEntityIntegrationTest.php.</t>
  </si>
  <si>
    <t>Originating transaction and required event record are atomic; processor is registered/runnable; consumer success equals a verified real side effect; retry/idempotency/dead-letter work.</t>
  </si>
  <si>
    <t>Outbox/event IDs + processor execution + failure-injection tests</t>
  </si>
  <si>
    <t>FiscalPeriod.php; fiscal_periods migration; FiscalPeriodsController.php; FiscalPeriodValidator.php; PostingRequest.php; PostingEngine.php; ManualJournalPostingService.php; OcrPostingService.php; FinancialCloseCycleService.php; CloseCycle.php; Financial Close cycle migrations; LockDate.php; lock-date migrations; company_settings lock-date migration; EnsureAccountingLockManageAccess.php; AccountingAccessService.php; CloseCyclesPage.tsx; closeApi.ts; FiscalPeriodTest.php; MultiEntityIntegrationTest.php; related fiscal-period test documentation.</t>
  </si>
  <si>
    <t>No commit→dispatch loss window, false-success consumer or duplicate authoritative event mechanism.</t>
  </si>
  <si>
    <t>Trace period creation/lookup/current selection/close/reopen/lock/posting validation/reporting by tenant/entity/book. Confirm approved scoping policy before schema change.</t>
  </si>
  <si>
    <t>ACC-RM-012 and ACC-RM-021</t>
  </si>
  <si>
    <t>Reuse/converge existing event/outbox assets; do not build a third mechanism.</t>
  </si>
  <si>
    <t>Evidence drill-down / UI authority</t>
  </si>
  <si>
    <t>Approve one canonical FiscalPeriod scope policy, then migrate schema/lookups/close/posting validation accordingly. Preserve tenant isolation and do not add entity/book fields merely to duplicate an already-authoritative relationship if architecture proves another deterministic scope.</t>
  </si>
  <si>
    <t>Migration/backfill or deterministic relationship proof; period creation/current lookup/post/close/reopen by entity/book; duplicate-period isolation; cross-entity/book negative tests; legacy compatibility.</t>
  </si>
  <si>
    <t>Permission-safe UI proves canonical source/destination/authority references and renders backend eligibility/reason codes without creating a second business authority.</t>
  </si>
  <si>
    <t>Browser/API trace + source IDs + negative permission tests</t>
  </si>
  <si>
    <t>Independently accepted</t>
  </si>
  <si>
    <t>UI discoverability and drill-down reach the existing canonical objects; hidden/disabled actions match backend authority.</t>
  </si>
  <si>
    <t>Rejected</t>
  </si>
  <si>
    <t>ACC-UI-RM-001 through ACC-UI-RM-008</t>
  </si>
  <si>
    <t>UI remediation is acceptance evidence where it affects authority, auditability or discoverability.</t>
  </si>
  <si>
    <t>VALIDATED scope defect; tenant isolation itself is not proven defective. Engineer must confirm the approved entity/book period model and migration impact against implementation SHA before changing schema.</t>
  </si>
  <si>
    <t>ACC-RM-005</t>
  </si>
  <si>
    <t>ACC-001 / ACC-011</t>
  </si>
  <si>
    <t>Period/transaction locks must be scoped to the applicable accounting authority context.</t>
  </si>
  <si>
    <t>PROVEN. LockDate has no demonstrated legal-entity/book scope and lock selection is not entity/book-aware. A separate LockDateOverride request/approval workflow exists, but PostingEngine does not demonstrate consumption of that approved record as execution authority; it instead accepts overrideReason/approvedBy and writes its own override evidence. Frontend exposes override request/history without a corresponding approval action.</t>
  </si>
  <si>
    <t>Returned for remediation</t>
  </si>
  <si>
    <t>LockDate.php and migrations; lock validation/override services/controllers; PostingEngine override validation/logging; FinancialCloseCycleService.php; lockDatesApi.ts; Shared RBAC/approval services; override tests.</t>
  </si>
  <si>
    <t>Acceptance %</t>
  </si>
  <si>
    <t>tenant lock-date migration; LockDate.php; lock validation/override services; FinancialCloseCycleService.php; posting validators consuming lock state.</t>
  </si>
  <si>
    <t>Trace all lock types/setters/overrides/reopen/posting validation and entity/book context. Identify intentionally tenant-wide locks and permission/SoD for override.</t>
  </si>
  <si>
    <t>Define canonical lock scope and one override authority. Entity/book-aware lock evaluation must consume the approved override decision/reference at execution time; PostingEngine must not infer approval from caller-supplied IDs. Align close/reopen and frontend approval workflow; retain explicit tenant-wide locks only where policy defines them.</t>
  </si>
  <si>
    <t>Entity/book lock isolation; approved override required and consumed by ID/version; unapproved/stale/self-approved override blocked; frontend request→approval→retry flow; close/reopen consistency; audit/SoD evidence.</t>
  </si>
  <si>
    <t>VALIDATED at trace baseline 5bb8de27d7c9e47cb312c240dc1119d42fba5a3a. Two override representations currently exist; do not create a third. Cross-link ACC-RM-014/019 and ACC-UI-RM-002.</t>
  </si>
  <si>
    <t>ACC-RM-006</t>
  </si>
  <si>
    <t>Wave B — Assurance &amp; Close</t>
  </si>
  <si>
    <t>ACC-010</t>
  </si>
  <si>
    <t>ACC-010 owns the canonical AccountingFinding Registry consumed by Close, Auditor Workspace and Finance AI.</t>
  </si>
  <si>
    <t>PROVEN P0 authority duplication. Financial Close persists its own fci_ai_findings/AiFinding lifecycle (OPEN/ACCEPTED/EDITED/DISMISSED/ESCALATED/SUPERSEDED) with independent review/disposition fields; it is not demonstrated to be a rebuildable projection of canonical ACC-010 AccountingFinding. FindingController::store also has a demonstrated service-call contract mismatch on the active route.</t>
  </si>
  <si>
    <t>FinancialClose AiFinding.php; fci_ai_findings migrations; FindingController.php; finding services; FinancialCloseReadinessService.php; Audit/Finance AI finding models; ACC-010 target contracts; route registrations/tests.</t>
  </si>
  <si>
    <t>FinancialClose AiFinding.php; fci_ai_findings migrations; FinancialCloseReadinessService.php; finding generation/review services; other assurance/audit/tax finding models.</t>
  </si>
  <si>
    <t>ACC-REM-001 — Pre-Issue Hostile Review &amp; Release Gate</t>
  </si>
  <si>
    <t>Find every finding/warning/anomaly/control model/table/API. Trace create/status/risk-accept/resolve authority. Prove FCI finding is projection or migrate to canonical ACC-010 without losing history.</t>
  </si>
  <si>
    <t>Review Item</t>
  </si>
  <si>
    <t>Implement/migrate to canonical ACC-010 AccountingFinding authority. If Financial Close retains a local table, it must be a rebuildable projection with no independent lifecycle/disposition authority. Fix active controller/service contract mismatch and preserve history/audit during migration.</t>
  </si>
  <si>
    <t>Verdict</t>
  </si>
  <si>
    <t>Canonical schema/API and migration mapping; one authoritative disposition path; projection rebuild test if retained; old FCI write path blocked; historical finding lineage preserved; controller/runtime tests.</t>
  </si>
  <si>
    <t>Accepted ÷ total issues</t>
  </si>
  <si>
    <t>Finding / Control</t>
  </si>
  <si>
    <t>Gate</t>
  </si>
  <si>
    <t>Required Before Issue</t>
  </si>
  <si>
    <t>Current Result</t>
  </si>
  <si>
    <t>Rule</t>
  </si>
  <si>
    <t>Current register scope / evidence basis</t>
  </si>
  <si>
    <t>ADR-005 Implementation Conformance / Release Acceptance</t>
  </si>
  <si>
    <t>PASS</t>
  </si>
  <si>
    <t>VALIDATED P0. Financial Close currently behaves as a finding authority, not a proven projection. Engineer discovery must inventory all finding/anomaly models before migration and preserve history.</t>
  </si>
  <si>
    <t>ACC-RM-007</t>
  </si>
  <si>
    <t>ACC-RM-001–021 plus ACC-UI-RM-001–008 are controlled remediation scope. Proven defects, positive controls and evidence gaps are separated; ADR-005 v1.0 and ACC-REG-001 remain the architecture source of truth.</t>
  </si>
  <si>
    <t>ACC-010 / ACC-011</t>
  </si>
  <si>
    <t>Do not reopen approved architecture through implementation convenience.</t>
  </si>
  <si>
    <t>Findings used in period close must carry or deterministically resolve applicable tenant/entity/book/period context.</t>
  </si>
  <si>
    <t>Engineer-owned discovery</t>
  </si>
  <si>
    <t>PROVEN. AiFinding has no demonstrated period_id/book_id and review_id can be null; AccountReview has entity/book but no period. FinancialCloseAiAnalysisService review lookup is not period-scoped and creates review context with hard-coded book_id='book-001'. FinancialCloseReadinessService queries reviews/open findings by tenant/entity without period/book filters, so other-period/book evidence can contaminate close readiness.</t>
  </si>
  <si>
    <t>AiFinding.php and migrations; AccountReview.php/migrations; FinancialCloseAiAnalysisService.php::ensureReview(); FinancialCloseReadinessService.php; close-cycle/readiness tests.</t>
  </si>
  <si>
    <t>Engineer, not intern report, owns final caller/dependency discovery against the exact implementation branch/SHA. Prior reviewer/intern traces are acceleration evidence only.</t>
  </si>
  <si>
    <t>FinancialClose AiFinding.php; FinancialCloseReadinessService.php; AccountReview model/service; close-cycle queries/tests.</t>
  </si>
  <si>
    <t>Final evidence pack must include immutable SHA and caller/reference inventory with every path disposition.</t>
  </si>
  <si>
    <t>Trace Finding -&gt; review -&gt; period/entity/book relationship and readiness queries. Prove deterministic context with prior-period/different-book tests; avoid duplicate fields if authoritative relationship already guarantees scope.</t>
  </si>
  <si>
    <t>Dependency trace governance</t>
  </si>
  <si>
    <t>Bind every close-relevant finding deterministically to tenant/entity/book/period through canonical AccountingFinding context or an authoritative non-null relationship. Remove hard-coded book identity and make readiness queries scope-exact.</t>
  </si>
  <si>
    <t>PARTIAL and COMPLETE WITH UNRESOLVED EVIDENCE are formally defined. Material PARTIAL trace must be closed by engineer discovery before affected implementation is claimed complete.</t>
  </si>
  <si>
    <t>Prior-period and different-book findings do not contaminate requested close; null review cannot lose scope; no book-001 hard-code; migration/backfill evidence; query tests across multiple periods/books.</t>
  </si>
  <si>
    <t>EVIDENCE_SUBMITTED is prohibited while a material caller/bypass remains unexplained.</t>
  </si>
  <si>
    <t>Batch A — Accounting command authority</t>
  </si>
  <si>
    <t>Primary implementation cluster: ACC-RM-001, 002, 003, 016 and 019. ACC-RM-010 is an enabling command-outcome contract; ACC-RM-012/021 constraints apply where authoritative events are introduced.</t>
  </si>
  <si>
    <t>Engineer may discover all rows in parallel, but Batch A architecture changes must be dependency-aware and independently hostile-reviewed.</t>
  </si>
  <si>
    <t>VALIDATED; prior evidence-gap classification is superseded. Hard-coded book-001 plus period/book-unscoped readiness queries establish a concrete scope defect.</t>
  </si>
  <si>
    <t>ACC-RM-008</t>
  </si>
  <si>
    <t>Batch B — Close / assurance authority</t>
  </si>
  <si>
    <t>ACC-RM-004, 005, 006, 007, 008, 009 and 014 form one close-control dependency cluster: scope, finding authority, mandatory blockers, atomic close/reopen and SoD.</t>
  </si>
  <si>
    <t>Mandatory Authority Conjunction: Close may proceed only when all applicable mandatory assurance blockers allow; non-blocking findings may remain.</t>
  </si>
  <si>
    <t>Do not fix close atomicity while leaving readiness/signoff authority bypasses intact.</t>
  </si>
  <si>
    <t>PROVEN P0 close-control defect. The direct close path re-evaluates FinancialCloseCycleService readiness based on tasks, escalations and signoffs, but open/high-risk assurance findings are not a conjunctive blocker. FinancialCloseReadinessService reports open findings yet its is_ready computation does not require openFindings==0. No separate authoritative risk-acceptance gate is demonstrated in the close execution path.</t>
  </si>
  <si>
    <t>CloseCycleController.php::close(); FinancialCloseCycleService.php::evaluateReadiness()/closeCycle(); FinancialCloseReadinessService.php; AiFinding disposition services; signoff/escalation/task services; risk-acceptance/RBAC searches; tests.</t>
  </si>
  <si>
    <t>Batch C — Source ingestion / promotion</t>
  </si>
  <si>
    <t>FinancialCloseCycleService.php; FinancialCloseReadinessService.php; close task/signoff/escalation services; canonical assurance/finding services.</t>
  </si>
  <si>
    <t>Trace every READY_TO_CLOSE/CLOSED path; readiness snapshots; finding disposition/risk acceptance; signoff; stale-state revalidation; reopen. Blocking assurance must gate; advisory must not automatically block.</t>
  </si>
  <si>
    <t>ACC-RM-017 and 018 govern human-confirmed source promotion/idempotency and shared staged import. ACC-UI-RM-003/007 are coupled UX/account-mapping controls.</t>
  </si>
  <si>
    <t>No OCR self-promotion and no domain-local import staging engine.</t>
  </si>
  <si>
    <t>All P0 remediation items must be independently ACCEPTED and no rejected item remains. ADR-005 itself remains the approved architecture baseline.</t>
  </si>
  <si>
    <t>Batch D — Settlement / reconciliation / evidence</t>
  </si>
  <si>
    <t>Make close readiness consume canonical assurance disposition as a mandatory conjunction: advisory findings may remain, mandatory blockers must be resolved, and risk acceptance must be a distinct authorised decision. Revalidate current assurance state inside close execution.</t>
  </si>
  <si>
    <t>Mandatory blocker prevents close; advisory does not; approved risk acceptance permits only policy-authorised exception; stale finding/risk state is revalidated; direct close API cannot bypass assurance gate; audit links close decision to evidence.</t>
  </si>
  <si>
    <t>ACC-RM-013 and 020 plus ACC-UI-RM-005/006 govern payment-settlement alignment, canonical bank-statement reconciliation and end-to-end evidence drill-down.</t>
  </si>
  <si>
    <t>Preserve proven gateway hardening and existing reconciliation matching/unique-line controls.</t>
  </si>
  <si>
    <t>Platform event convergence</t>
  </si>
  <si>
    <t>ACC-RM-012 owns transactional publication from financial truth; ACC-RM-021 owns one platform event authority and truthful durable consumer processing.</t>
  </si>
  <si>
    <t>Converge existing mechanisms; do not create an Accounting-local third outbox/event bus.</t>
  </si>
  <si>
    <t>UI remediation boundary</t>
  </si>
  <si>
    <t>VALIDATED P0. Close authority must distinguish advisory findings, mandatory blockers and authorised risk acceptance; generic accepted/dismissed AI state is not sufficient risk-acceptance authority.</t>
  </si>
  <si>
    <t>ACC-UI-RM-001–008 remain separate UI/UX remediation records. They may be implemented with their governing backend batch but cannot create duplicate business authority.</t>
  </si>
  <si>
    <t>UI acceptance requires backend authority, permission and evidence linkage to remain canonical.</t>
  </si>
  <si>
    <t>ACC-RM-009</t>
  </si>
  <si>
    <t>Evidence closure standard</t>
  </si>
  <si>
    <t>ACC-011</t>
  </si>
  <si>
    <t>Source paths, executable positive/negative tests, runtime results, caller inventory and exact SHA are mandatory; concurrency/atomicity/approval/import/reconciliation/event evidence applies by issue.</t>
  </si>
  <si>
    <t>Close-cycle state, period lock, lock authority evidence and required events must transition atomically or under an explicit recoverable state machine.</t>
  </si>
  <si>
    <t>Screenshot, narrative report or AI claim alone = NOT ACCEPTED.</t>
  </si>
  <si>
    <t>PROVEN P0 atomicity defect. closeCycle() persists cycle close, FiscalPeriod lock, LockDate mutation and audit as separate authoritative writes without one enclosing transaction/recoverable state machine. Reopen likewise mutates FiscalPeriod, LockDate, company settings and audit separately. Failure between writes can leave contradictory close/lock state; no required close-completed transactional outbox event is demonstrated.</t>
  </si>
  <si>
    <t>Independent acceptance</t>
  </si>
  <si>
    <t>FinancialCloseCycleService.php::closeCycle()/reopen; FiscalPeriod.php; LockDate.php; company_settings lock-date logic; close audit code; event/outbox integrations; close/reopen tests.</t>
  </si>
  <si>
    <t>FinancialCloseCycleService.php; FiscalPeriod.php; LockDate.php; close audit/event/outbox code; close/reopen tests.</t>
  </si>
  <si>
    <t>Trace close/reopen write sequence, transaction/lock boundaries, audit, outbox/events, retries/concurrency. Test failure after each authoritative write and stale-readiness.</t>
  </si>
  <si>
    <t>Engineer cannot self-accept. Implementation moves EVIDENCE_SUBMITTED → HOSTILE_REVIEW → ACCEPTED/REJECTED only after independent code/test/evidence verification.</t>
  </si>
  <si>
    <t>Review against the exact claimed implementation SHA.</t>
  </si>
  <si>
    <t>P0 sequencing</t>
  </si>
  <si>
    <t>Execute close/reopen under one authoritative DB transaction or explicitly recoverable state machine, with execution-time readiness/permission revalidation and required event/outbox persistence in the same financial truth boundary.</t>
  </si>
  <si>
    <t>CONDITIONAL PASS</t>
  </si>
  <si>
    <t>Failure injection after every authoritative write; no cycle/period/LockDate/settings contradiction; concurrent close/reopen conflict tests; stale-readiness rejection; retry/idempotency; close/reopen event atomicity.</t>
  </si>
  <si>
    <t>Discovery may proceed across all remediation rows. Implementation must follow dependency-aware batches; later-batch work may not silently redesign Batch A shared authority or bypass an unresolved P0 dependency.</t>
  </si>
  <si>
    <t>Engineer records dependency conflicts/contradictions before coding across the boundary.</t>
  </si>
  <si>
    <t>Final issue decision</t>
  </si>
  <si>
    <t>APPROVE TO ISSUE — ENGINEER DISCOVERY + BATCHED IMPLEMENTATION</t>
  </si>
  <si>
    <t>VALIDATED P0. Close and reopen contain multi-write partial-commit paths. Cross-link ACC-RM-012 for transactional publication and ACC-RM-014 for execution authority.</t>
  </si>
  <si>
    <t>ACC-REM-001 is approved as the controlled remediation/evidence register for engineer-owned discovery and phased implementation. This is not implementation acceptance and does not change ADR-005 approval status.</t>
  </si>
  <si>
    <t>ACC-RM-010</t>
  </si>
  <si>
    <t>Begin with engineer repository discovery and Batch A; each batch requires independent hostile acceptance.</t>
  </si>
  <si>
    <t>MANDATORY ENGINEER INSTRUCTIONS</t>
  </si>
  <si>
    <t>Command results distinguish ACCEPTED/REJECTED/BLOCKED/CONFLICT/FAILED with canonical reason/remediation metadata.</t>
  </si>
  <si>
    <t>PROVEN. PostingResult exposes success plus free-text error instead of canonical ACCEPTED/REJECTED/BLOCKED/CONFLICT/FAILED semantics. Controllers often map materially different conditions such as already-posted, locked period, self-approval and posting failure to the same HTTP 422 shape, preventing deterministic UI/remediation behavior.</t>
  </si>
  <si>
    <t>PostingResult.php; PostingEngine.php; JournalEntriesController and other PostingResult consumers; API exception/error mapping; frontend posting/error handling; lock/reversal/posting tests.</t>
  </si>
  <si>
    <t>1. Work from an exact branch and commit SHA.
2. Perform your own caller/dependency discovery; prior traces are not a substitute.
3. Affected files are minimum inspection scope, never a patch whitelist.
4. Record every additional caller/bypass and final disposition.
5. Preserve positive controls and existing proven tests.
6. Do not create duplicate Accounting-local shared services.
7. Complete required positive, negative, concurrency, atomicity and runtime evidence.
8. Do not mark EVIDENCE_SUBMITTED with a material unexplained caller/bypass.
9. ACCEPTED is set only by independent hostile review.</t>
  </si>
  <si>
    <t>PostingResult.php; PostingEngine.php; all PostingResult consumers; controller/API exception mapping; frontend posting-status/error mapping.</t>
  </si>
  <si>
    <t>Execution rule</t>
  </si>
  <si>
    <t>Trace every PostingResult consumer; map errors to canonical outcomes/reason codes; preserve compatibility; prove UI/API distinguishes BLOCKED/REJECTED/CONFLICT/FAILED.</t>
  </si>
  <si>
    <t>Discovery first within each changed authority; controlled replacement path second; migrate callers; disable bypass; prove old failure path; submit evidence.</t>
  </si>
  <si>
    <t>Introduce one canonical command-result contract with outcome, reason_code, remediation/action metadata, current state/version where applicable, authority/correlation references and retryability. Map existing callers compatibly; do not rely on free-text parsing.</t>
  </si>
  <si>
    <t>Period lock→BLOCKED; stale version/concurrent command→CONFLICT; invalid request/state→REJECTED; infrastructure failure→FAILED; success→ACCEPTED; API/HTTP/UI mappings are deterministic and backwards-compatible where required.</t>
  </si>
  <si>
    <t>VALIDATED at immutable trace baseline 5bb8de27d7c9e47cb312c240dc1119d42fba5a3a. This contract is an enabling dependency for ACC-RM-016 conflict UX and ACC-UI-RM-002 locked-period remediation.</t>
  </si>
  <si>
    <t>ACC-RM-011</t>
  </si>
  <si>
    <t>Journal business, workflow, approval and posting states are distinct state dimensions.</t>
  </si>
  <si>
    <t>PROVEN. JournalEntry primarily has status=draft|posted plus correction-oriented lifecycle_status/version flags; no independent business/workflow/approval/posting state dimensions are demonstrated. Manual journal posting can move draft directly to posted once current permission/lock checks pass, with no journal-specific Shared Approval decision consumed.</t>
  </si>
  <si>
    <t>JournalEntry.php and migrations; ManualJournalPostingService.php; journal controllers/routes; PostingEngine.php; correction lifecycle migrations; Shared Approval integrations/search; journal UI/tests.</t>
  </si>
  <si>
    <t>JournalEntry.php; journal migrations; PostingEngine.php; journal services/controllers; workflow/approval integrations; tests.</t>
  </si>
  <si>
    <t>Trace every status/lifecycle_status read/write; enumerate values; map to business/workflow/approval/posting dimensions; identify report/UI/API dependencies before migration.</t>
  </si>
  <si>
    <t>Define distinct journal business, workflow, approval and posting dimensions or prove an equivalent canonical model. Integrate journal approval with Shared Approval/Workflow and ACC-RM-019; material edits must invalidate/rebind approvals as policy requires.</t>
  </si>
  <si>
    <t>State migration map and transition matrix; independent approval/posting tests; draft cannot post when approval required; material edit invalidates stale approval; reporting/API/UI compatibility; correction lifecycle remains distinct.</t>
  </si>
  <si>
    <t>VALIDATED. Current journal lifecycle fields do not prove independent workflow/approval/posting state. Cross-link ACC-RM-019; do not create an Accounting-local workflow engine.</t>
  </si>
  <si>
    <t>ACC-RM-012</t>
  </si>
  <si>
    <t>ACC-002 / Platform Events</t>
  </si>
  <si>
    <t>Required authoritative events use a durable transactional outbox and one authoritative publisher per event.</t>
  </si>
  <si>
    <t>PROVEN P0 transactional-publication gap. Platform DomainEventDispatcher persists/dispatches outside demonstrated origin-transaction atomicity; EventManagement has a separate durable outbox. Accounting/Invoice posting can commit business/financial state before dispatch, leaving a commit→dispatch loss window. The durable outbox is not demonstrated as the authoritative Accounting publication path; ACC-RM-021 separately governs platform event-authority convergence.</t>
  </si>
  <si>
    <t>PostingEngine.php; InvoiceService post/dispatch flow; Platform/EventBus/DomainEventDispatcher.php and EventRecord; EventManagement OutboxService/models/migrations/processors; Accounting publishers/listeners; event/outbox tests.</t>
  </si>
  <si>
    <t>PostingEngine.php; event dispatchers/jobs/listeners; existing outbox/inbox migrations/models/publishers; posting/reversal/close event tests.</t>
  </si>
  <si>
    <t>Search outbox/inbox/publisher/after-commit/retry mechanisms; trace authoritative events end-to-end. If outbox exists, prove same-transaction persistence; do not create duplicate mechanism.</t>
  </si>
  <si>
    <t>Use one platform event authority and durable transactional publication mechanism. Required Accounting events/outbox records must persist in the same transaction as financial truth; durable delivery/retry occurs after commit. Converge/reuse existing mechanisms and cross-link ACC-RM-021; do not build a third Accounting outbox.</t>
  </si>
  <si>
    <t>Failure between financial write and event persistence rolls back or yields explicit recoverable state; same-transaction outbox proof; publisher retry; duplicate consumer idempotency; event ownership/version registry; no commit→dispatch loss window.</t>
  </si>
  <si>
    <t>VALIDATED P0. Existing platform outbox/retry assets are positive controls but do not prove atomic Accounting publication. ACC-RM-012 owns origin-transaction publication; ACC-RM-021 owns platform event-authority convergence.</t>
  </si>
  <si>
    <t>ACC-RM-013</t>
  </si>
  <si>
    <t>Wave D — Payment Lifecycle</t>
  </si>
  <si>
    <t>ACC-005A / ACC-005B</t>
  </si>
  <si>
    <t>Payment Execution and Accounting Settlement are distinct authorities/lifecycles, including uncertain external outcomes and allocation/unapplied cash.</t>
  </si>
  <si>
    <t>VALIDATED with positive controls. Payment gateway lifecycle already has retry/duplicate/local-processing hardening, but PaymentTransaction does not demonstrate a persisted SUBMISSION_UNKNOWN state and AR/AP settlement remains tightly coupled to posting/allocation. Concrete correction defects include BillPayment→Payment type incompatibility, stale reversal signature, whole-document paid_amount reset on partial refund, and POS/offline fail-open GL divergence.</t>
  </si>
  <si>
    <t>PaymentLifecycleHardeningTest.php; PaymentTransaction model/services; InvoiceService::recordPayment(); BillPaymentService.php; PaymentCorrectionService.php; PaymentCorrectionsController.php; PaymentRefundService.php; PosSyncService.php; allocation/reconciliation code.</t>
  </si>
  <si>
    <t>PaymentLifecycleHardeningTest.php; InvoiceService.php::recordPayment(); BillPaymentService.php; payment gateway services/controllers/models; refund/allocation/reconciliation code.</t>
  </si>
  <si>
    <t>Trace external execution, webhook/callback, local processing, GL posting, allocation/settlement, unapplied cash/payment-on-account, refund/reversal/reconciliation. Preserve existing hardening; prove UNKNOWN handling where applicable.</t>
  </si>
  <si>
    <t>Preserve proven gateway hardening while separating external Payment Execution from Accounting Settlement. Add governed UNKNOWN/reconciliation states where applicable; support unapplied/on-account settlement policy; recalculate balances from surviving allocations; make correction/refund and operational/GL outcomes atomic or explicitly recoverable.</t>
  </si>
  <si>
    <t>Existing gateway retry tests stay green; UNKNOWN execution test; multi-payment partial refund preserves unaffected allocations; BillPayment correction runtime test; POS/offline accounting failure cannot falsely complete operational refund; unapplied cash/payment-on-account and reconciliation evidence.</t>
  </si>
  <si>
    <t>VALIDATED with positive controls. Do not rewrite proven PaymentLifecycleHardening behavior; align it to ACC-005A/ACC-005B and correct concrete settlement/correction divergence.</t>
  </si>
  <si>
    <t>ACC-RM-014</t>
  </si>
  <si>
    <t>ACC-011 / Shared RBAC</t>
  </si>
  <si>
    <t>Close, lock, reopen, risk acceptance and override authorities use explicit permissions and Segregation of Duties.</t>
  </si>
  <si>
    <t>PROVEN P0 authorization defect. Financial Close routes are authenticated/tenant-scoped but no close-specific RBAC middleware/policy is demonstrated. Close-cycle signoff accepts a role string from the request and readiness counts Owner/Admin/Manager role strings without a demonstrated authoritative role lookup, creating a role-spoofing path. Finding accept/dismiss paths likewise lack demonstrated action-specific permission enforcement. Broad accounting.settings fallback also exists for reopen.</t>
  </si>
  <si>
    <t>FinancialCloseServiceProvider routes/middleware; CloseCycleController.php::signoff()/close()/reopen; FinancialCloseCycleService signoff/readiness logic; FindingController/service; AccountingAccess/RBAC permission seeds; lock/reopen/override paths; tests.</t>
  </si>
  <si>
    <t>FinancialCloseCycleService.php; RBAC permission definitions/seeds; close controllers/policies/middleware; lock/reopen/risk-acceptance services/tests.</t>
  </si>
  <si>
    <t>Trace close/lock/reopen/signoff/override authorization from API to service; enumerate permissions/roles; test self-approval and broad-role fallback; keep Shared RBAC authoritative.</t>
  </si>
  <si>
    <t>Replace client-supplied/hard-coded role authority with explicit backend permissions and Shared RBAC/SoD policy for close, signoff, reopen, lock override and risk acceptance. Derive role/permission from authenticated authoritative context and revalidate inside execution. Cross-link ACC-RM-019 for general posting/approval authority.</t>
  </si>
  <si>
    <t>Ordinary authenticated user cannot spoof Owner/Admin/Manager signoff; role without specific close permission fails; self-signoff/SoD negative tests; reopen/override/risk acceptance require distinct authority; stale permission is revalidated; deep-link/API bypass fails; audit evidence.</t>
  </si>
  <si>
    <t>Severity escalated P1→P0 based on validated close-signoff authorization bypass at trace baseline 5bb8de27d7c9e47cb312c240dc1119d42fba5a3a. Client-supplied role labels must never confer close authority.</t>
  </si>
  <si>
    <t>ACC-RM-015</t>
  </si>
  <si>
    <t>ACC-002 / Multi-tenancy</t>
  </si>
  <si>
    <t>Posting/reversal idempotency and source tracing must be tenant-safe under the runtime tenancy model.</t>
  </si>
  <si>
    <t>EVIDENCE GAP — do not overclaim cross-tenant defect. Runtime tenancy positively sets tenant schema/search_path, which may isolate ordinary queries. However JournalEntryLink model includes tenant_id while its original tenant migration does not, and a later migration/backfill path adds/assumes tenant-aware fields/constraints. The authoritative deployment contract—schema isolation only, explicit tenant_id, or both—remains unproven.</t>
  </si>
  <si>
    <t>JournalEntryLink.php; original tenant migration; later tenant-aware JournalEntryLink migration/backfill command; PostingEngine source/reversal idempotency queries; tenancy middleware/connection/search_path setup; deployment-equivalent tenancy tests.</t>
  </si>
  <si>
    <t>JournalEntryLink.php; PostingEngine.php; tenancy middleware/connection resolver/global scopes; JournalEntryLink migration/constraints; cross-tenant tests.</t>
  </si>
  <si>
    <t>Trace actual runtime tenancy before query changes. Prove DB/connection isolation, unique constraints and context binding; test identical source IDs across tenants using deployment-equivalent setup.</t>
  </si>
  <si>
    <t>Engineer must first document the deployment-equivalent tenancy contract and migration history. Then either rely on proven isolated tenant schemas or enforce explicit tenant context/keys consistently; remove ambiguity between model, migration and uniqueness strategy without adding redundant tenant logic.</t>
  </si>
  <si>
    <t>Deployment-equivalent test with identical source IDs in two tenants; search_path/connection proof; JournalEntryLink schema after full migrations; unique-constraint behavior; backfill integrity; no cross-tenant collision/leakage. If schema isolation alone is authoritative, document why explicit tenant_id is retained or retired.</t>
  </si>
  <si>
    <t>EVIDENCE GAP only. Runtime schema isolation is a positive control; no cross-tenant defect should be claimed without deployment-equivalent proof. Engineer discovery is mandatory before any query/schema change.</t>
  </si>
  <si>
    <t>ACC-RM-016</t>
  </si>
  <si>
    <t>ACC-002 / ACC-005 / Shared Concurrency</t>
  </si>
  <si>
    <t>Concurrent Command / Financial Capacity Consumption Protection: every authoritative command that consumes financial or operational capacity must lock/reload the authoritative aggregate and revalidate remaining capacity/invariants at execution time. Competing commands must yield one valid effect or canonical CONFLICT.</t>
  </si>
  <si>
    <t>PROVEN P0. InvoiceService::recordPayment validates against Invoice balance before its transaction and does not demonstrate a locked reload before consuming that balance; concurrent requests can both pass the same stale capacity check. Customer/Vendor credit-note aggregate caps and SalesOrder partial-invoice quantity consumption likewise lack demonstrated aggregate serialization at the consumption point. Positive control: BillPaymentService uses a DB transaction, Bill::lockForUpdate() and amount revalidation. Remaining evidence gap is caller-matrix completeness/deployed concurrency testing; ordinary edit ETag/version protection is still unproven.</t>
  </si>
  <si>
    <t>InvoiceService.php::recordPayment(); BillPaymentService.php::recordPayment() positive lock/revalidation control; CustomerCreditNoteService.php; VendorCreditNoteService.php; VendorDebitNoteService.php; SalesOrderService.php::createInvoice(); InvoiceController.php; VendorBillsController.php/VendorBillService.php; PostingEngine.php::reverse(); JournalEntryLink constraints/tests.</t>
  </si>
  <si>
    <t>Invoice/Bill/Payment/Credit/Debit Note/SalesOrder controllers and services; PostingEngine; aggregate models/migrations; source quantity/allocation fields; versioning fields; frontend edit/post/cancel flows; API error mapping; concurrency/idempotency tests.</t>
  </si>
  <si>
    <t>Trace every command that consumes remaining amount, quantity, reversible amount or state eligibility. Map read→lock/reload→revalidate→permission/period check→idempotency→transition→accounting effect→audit/outbox→commit. Prove stale edits use version/ETag and high-authority commands serialize aggregate consumption.</t>
  </si>
  <si>
    <t>Standardise financial command execution: optimistic concurrency for ordinary edits; transactional lock/reload and execution-time invariant revalidation for high-authority/capacity-consuming commands; aggregate-level serialization; canonical CONFLICT with current version/state; idempotent retry; audit/version evidence. Preserve proven BillPayment and duplicate-posting controls rather than replacing them.</t>
  </si>
  <si>
    <t>Two-user AR over-allocation; concurrent customer/vendor credit/debit cap consumption; cancel-vs-payment; edit-vs-post; concurrent reversal; concurrent SalesOrder partial invoicing; stale edit with prior version/ETag; exactly one valid effect; losing command returns canonical CONFLICT with current state/version; regression proving BillPayment lock/revalidation and existing PostingEngine/JournalEntryLink protections remain effective.</t>
  </si>
  <si>
    <t>VALIDATED P0 at immutable main commit 5bb8de27d7c9e47cb312c240dc1119d42fba5a3a. The defect is inconsistent concurrency discipline, not absence of locking everywhere. Document correction/version_number is not optimistic concurrency evidence. Preserve the positive BillPayment lock/revalidation and duplicate-posting controls. Implementation is not accepted until runtime concurrency evidence covers the losing-command CONFLICT path.</t>
  </si>
  <si>
    <t>ACC-RM-017</t>
  </si>
  <si>
    <t>Shared Idempotency / Canonical Creation &amp; Promotion</t>
  </si>
  <si>
    <t>Human-Confirmed Source-to-Canonical Creation &amp; Promotion Idempotency: where a source-derived workflow requires review/confirmation, the confirmed source state and stable source/command identity must bind to one canonical creation/promotion result. Replays return the same canonical result; independent duplicates are governed separately.</t>
  </si>
  <si>
    <t>PROVEN P0 promotion race/authority defect. OcrPromotionController invokes promotion without an explicit reviewed-version/confirmation token. OcrPromotionService accepts NEEDS_REVIEW as eligibility, reads the OcrDocument before the transaction with no demonstrated source row lock or unique OCR-to-canonical destination claim, directly creates a live Bill/Invoice, then marks the OCR record PROMOTED. Two concurrent calls can therefore both pass the precondition and create two canonical documents. NEEDS_REVIEW is not human promotion authority.</t>
  </si>
  <si>
    <t>OcrPromotionController.php promotion endpoint; OcrPromotionService.php promotion transaction and direct Bill/Invoice creation; OcrDocument status/source identity fields; OCR frontend Direct Post/promotion workflow; canonical Invoice/Bill creation services; source hash/idempotency/external-reference controls; PostingEngine/JournalEntryLink positive downstream controls.</t>
  </si>
  <si>
    <t>All source→canonical create/promotion commands; OCR review/confirm/promote; Accounting-origin Invoice/Bill; SalesOrder→Invoice; CSV/import creation; POS/Ecommerce/webhook/payment callbacks; shared external-reference/idempotency services; API contracts; frontend confirmation/retry handling; tests.</t>
  </si>
  <si>
    <t>For each source-to-canonical flow, trace source identity, human-confirmed source version/state where applicable, command/idempotency key, atomic claim, canonical destination linkage, replay outcome, timeout/UNKNOWN recovery and separate semantic duplicate detection. Prove shared platform Idempotency Key and External Reference Mapping authority are consumed rather than rebuilt locally.</t>
  </si>
  <si>
    <t>Implement human-confirmed promotion: REVIEWED(version N) -&gt; explicit CONFIRM PROMOTION -&gt; server revalidate version/state -&gt; lock/atomically claim source -&gt; invoke canonical Invoice/Bill create command -&gt; persist unique source-to-canonical relationship and result -&gt; mark PROMOTED in the same transaction. Same confirmed command/retry returns the existing result; source changes invalidate confirmation. Do not let OCR confidence or NEEDS_REVIEW grant promotion authority.</t>
  </si>
  <si>
    <t>Concurrent same-OCR promotion produces exactly one canonical destination and one durable source link; losing/retry call returns existing ACCEPTED result or canonical CONFLICT, never a second document; promotion without explicit confirmation is blocked; edit after review forces reconfirmation; timeout retry recovers original destination; direct table insertion path is removed/bypassed in favour of canonical creation service; full source-to-review-to-confirm-to-canonical lineage is queryable.</t>
  </si>
  <si>
    <t>VALIDATED P0 at immutable main commit 5bb8de27d7c9e47cb312c240dc1119d42fba5a3a. Sequential protection from final PROMOTED status is not concurrent idempotency. OCR can extract/classify/map/recommend, but it must never self-promote; explicit human confirmation bound to the reviewed source version is mandatory.</t>
  </si>
  <si>
    <t>ACC-RM-018</t>
  </si>
  <si>
    <t>Shared Import / Staging / Canonical Promotion</t>
  </si>
  <si>
    <t>Shared Import Staging, Human Review &amp; Canonical Promotion: import must follow upload/source identity → parse → durable staging → validate/map → human review where required → preview → explicit commit/promotion through canonical domain services. Import must not write directly to live canonical tables during parse/review.</t>
  </si>
  <si>
    <t>PROVEN P0. Accounting Invoice CSV import performs live operational creation during import: customer/contact/SalesOrder/Invoice and related downstream steps can be created before the complete batch has passed review/commit. Later medical-case/posting/row failure can therefore leave earlier live business artifacts. No general durable Accounting staging boundary is demonstrated. Positive platform pattern: ContactImportStaging persists staged rows and separates staging from commit.</t>
  </si>
  <si>
    <t>InvoiceController.php::import()/createInvoiceFromData(); MigrationWorkbench.php; migration_jobs/migration_batches/migration_exceptions; ContactMasterService contact import flow; ContactImportBatch.php; ContactImportStaging.php positive durable staging/commit pattern; deprecated ImportController.php; canonical Invoice/Bill creation services; ADR-000 NEG-021 direct-live-import prohibition.</t>
  </si>
  <si>
    <t>All Accounting/customer/vendor/product/COA/opening-balance/import routes and UI; MigrationWorkbench controllers/routes/tables; durable staged-row models; Contact import staging as positive pattern; domain adapters; canonical Invoice/Bill creation services; file hash/source identity; batch/row idempotency; exception/review/preview/commit flows; tests.</t>
  </si>
  <si>
    <t>Inventory every import route. Classify STAGED vs DIRECT-LIVE. Trace file identity/hash, batch identity, row identity, mapping/validation, durable staged payload, reviewer decisions, commit eligibility, canonical service use, failure recovery, replay/idempotency and partial-commit behavior. Reuse shared import/migration authority; do not copy domain-local staging engines.</t>
  </si>
  <si>
    <t>Generalise the existing shared import capability into durable file/batch/row staging with validation/mapping results, review state, preview, exceptions and explicit idempotent commit through canonical domain services. Migrate direct-live Accounting imports to upload -&gt; parse -&gt; stage -&gt; validate/map -&gt; review -&gt; preview -&gt; commit/promote. No parse/review operation may create live canonical business truth.</t>
  </si>
  <si>
    <t>Invalid/unapproved row never becomes live; staged rows survive process restart; preview equals commit-eligible set; same file and same commit replay are deterministic/idempotent; failure at row N or a downstream side effect leaves a recoverable staged/partial-commit state without hidden live artifacts; canonical Invoice/Bill service is invoked; batch/row/source lineage and reviewer decisions are auditable; Contact staging regression remains green.</t>
  </si>
  <si>
    <t>VALIDATED P0 at immutable main commit 5bb8de27d7c9e47cb312c240dc1119d42fba5a3a. This is a platform staging-authority defect, not merely CSV validation. Reuse/generalise ContactImportStaging and shared migration assets; do not create AccountingImportStaging as a parallel local authority.</t>
  </si>
  <si>
    <t>ACC-RM-019</t>
  </si>
  <si>
    <t>ACC-002 / Shared Approval &amp; Workflow / Shared RBAC</t>
  </si>
  <si>
    <t>Accounting Transaction Approval Gate &amp; Posting Authorization — built on hardened Shared Platform Approval/Workflow: a transaction may create a GL effect only when its current canonical approval/workflow state and explicit posting authority permit it. Accounting consumes shared approval/workflow/RBAC; it must not implement a parallel local approval authority.</t>
  </si>
  <si>
    <t>PROVEN P0. GL-affecting commands do not consistently consume an authoritative Accounting approval decision immediately before posting or reversal. Some financial actions remain reachable through broad accounting.write authority. Shared ApprovalRequest is a single-reviewer terminal model with one reviewed_by. ApprovalService positively locks the request, checks expiry, blocks self-approval and checks eligibility, but one successful reviewer sets pending to approved. No first-class Accounting quorum or multi-approver decision ledger is demonstrated, and its entitlement map is POS-oriented. A named WorkflowEngine was not found in the traced repository search; this remains an evidence gap, not proof that no workflow exists.</t>
  </si>
  <si>
    <t>ApprovalRequest.php; ApprovalService.php::createApprovalRequest()/approveRequest()/userCanApprove(); Accounting routes; AccountingAccessService.php; EnsureAccountingWriteAccess.php; EnsureAccountingPostAccess.php; EnsureAccountingReverseAccess.php; VendorBillsController/VendorBillService; InvoiceController.php; credit/debit-note services/controllers; manual journal posting/reversal paths; permission tests.</t>
  </si>
  <si>
    <t>All transaction post/release/reverse/correct routes and services; Shared Approval Workflow/Policy state; approval requests/decisions; RBAC permissions; SoD/self-approval rules; override policy; stale-approval handling; frontend eligibility; audit/event evidence; tests.</t>
  </si>
  <si>
    <t>Trace each GL-affecting command from UI/API through shared approval/workflow and RBAC to canonical posting authority. Prove required approval state, decision version, approver eligibility/quorum/SoD, explicit accounting.post/accounting.reverse permission and transaction-time revalidation. Identify any broad accounting.write or role-name fallback.</t>
  </si>
  <si>
    <t>Harden Shared Platform Approval/Workflow as the single approval authority, then require Accounting commands to consume its current decision inside the posting transaction. Model approval decisions/quorum explicitly rather than a single reviewed_by terminal flip where policy requires multiple approvers. Bind approval to document version/material fields so material edits invalidate approval. Separate prepare/write, approve, post, reverse, override and close authorities and enforce SoD.</t>
  </si>
  <si>
    <t>accounting.write without accounting.post cannot create GL effect; unapproved, expired, revoked or stale-version transaction cannot post; self-approval fails; configured quorum cannot be satisfied by one reviewer; ineligible role fails; material edit after approval requires reapproval; reverse requires explicit reverse authority; permitted approved command posts exactly once; audit links transaction/version to approval decisions/quorum and posting/reversal result; existing approval lock/self-approval controls remain green.</t>
  </si>
  <si>
    <t>VALIDATED P0 at immutable main commit 5bb8de27d7c9e47cb312c240dc1119d42fba5a3a. Preserve Shared ApprovalService locking, expiry and self-approval controls, but do not treat its current single-reviewer POS-oriented contract as sufficient Accounting approval authority. ACC-RM-014 remains close/lock/reopen/risk-acceptance SoD; ACC-RM-019 governs general transaction approval and posting authority.</t>
  </si>
  <si>
    <t>Bank Reconciliation / ACC-011 / Shared Evidence</t>
  </si>
  <si>
    <t>Canonical Bank Statement Reconciliation &amp; Match Authority: durable external BankStatement/BankStatementLine evidence must reconcile against canonical bank-ledger entries through one authoritative match lifecycle. Match algorithms suggest; humans/authorised policy confirm. Completion is reviewable, idempotent, concurrency-safe and evidence-preserving.</t>
  </si>
  <si>
    <t>PROVEN P0 architecture split. Active Bank Reconciliation has no demonstrated canonical durable BankStatement/BankStatementLine source authority; the UI collects statement date/balance and checks GL lines directly. AutoMatchingService acceptMatches creates ReconciliationItem without synchronising JournalEntryLine.reconciliation_id/date, while the primary completion path updates both, creating split reconciled-state semantics. AutoMatch validates bank_account_id against chart_of_accounts while the primary controller uses bank_accounts; it does not bind the selected GL line to the requested bank account and uses JournalEntryLine.transaction_date instead of canonical JournalEntry.entry_date. Statistics contract is incompatible with the current service signature/shape. Draft/save/resume, sequence continuity and governed reopen/supersede are not demonstrated.</t>
  </si>
  <si>
    <t>BankReconciliationService.php; BankReconciliationController.php; AutoMatchingService.php::acceptMatches()/matching/statistics paths; AutoMatchController.php; BankReconciliation.php; ReconciliationItem.php; bank_reconciliations/reconciliation_items/reconciliation_exceptions migrations; BankReconciliationPage.tsx; reconciliation routes/tests. Positive controls: UNIQUE(reconciliation_items.journal_entry_line_id) and useful exact/fuzzy/confidence matching logic.</t>
  </si>
  <si>
    <t>BankAccount/GL linkage; BankStatement ingestion/feed/import; BankReconciliation/Item/Match models; AutoMatching; adjustments via PostingEngine; routes/RBAC; frontend reconciliation/history; close-readiness; evidence drill-down; concurrency/idempotency/period tests.</t>
  </si>
  <si>
    <t>Trace statement ingestion/source identity; draft→match→confirm→complete→reopen/supersede lifecycle; BankAccount vs GL identity; statement/ledger date authority; 1:1, 1:N, N:1 matching; account-scoped validation; concurrency/idempotency; sequence/opening balance continuity; exceptions/adjustments; permissions/SoD; lock/close policy; evidence lineage.</t>
  </si>
  <si>
    <t>Define the canonical BankStatement/BankStatementLine/ReconciliationMatch architecture before implementation. Preserve existing unique GL-line membership and matching algorithms as controls/suggestion logic, but unify reconciled-state persistence, BankAccount identity and ledger date; require explicit governed match confirmation; add draft/save/resume, account/date validation, 1:1/1:N/N:1 matching with amount conservation, concurrency/idempotency, sequence continuity, immutable completion and authorised reopen/correction/supersede lineage.</t>
  </si>
  <si>
    <t>Durable statement/source identity and duplicate-import replay; same BankAccount identity across routes/services; parent journal entry date used; draft/save/resume; explicit confirmation of suggestions; account-scoped 1:1/1:N/N:1 matches with amount conservation; concurrent same-match gives one accepted/one CONFLICT; completed reconciliation immutable; authorised reopen/supersede lineage; separate adjust vs complete permissions; exception resolution; statement-to-match-to-GL-to-journal-to-business-source drill-down; failure injection; completion replay returns existing result; close-readiness integration.</t>
  </si>
  <si>
    <t>VALIDATED P0; dependency trace remains COMPLETE WITH UNRESOLVED EVIDENCE. Implementation is NOT READY until the reconciliation architecture contract is fixed. Do not repair the current page piecemeal. Preserve UNIQUE journal-entry-line membership and useful exact/fuzzy matching, but make them subordinate to one canonical statement/match lifecycle. Period-lock treatment of reconciliation completion remains a policy dependency, not a separately proven defect.</t>
  </si>
  <si>
    <t>ACC-RM-021</t>
  </si>
  <si>
    <t>Shared Domain Event Bus / Platform Events</t>
  </si>
  <si>
    <t>Cross-module business events must use the Shared Platform Domain Event Bus with one authoritative event identity/owner; durable outbox/inbox is a delivery mechanism, not a competing domain-event authority.</t>
  </si>
  <si>
    <t>PROVEN platform convergence/runtime defects. Shared Platform DomainEventDispatcher and EventManagement durable OutboxService coexist with different authority/delivery semantics. The outbox schema has useful unique idempotency and per-consumer controls, but processAccountingConsumer returns success and accounting_entry_created=true without performing or verifying a canonical Accounting side effect. OutboxEvent and OutboxEventConsumer readyForProcessing scopes call DB::raw without importing the DB facade. EventManagementServiceProvider does not register the visible ProcessOutboxEventsCommand. OutboxService generates a payload-stable idempotency key while OutboxEvent::generateIdempotencyKey includes the current timestamp. Whether an external deployment scheduler independently launches the processor remains an evidence gap.</t>
  </si>
  <si>
    <t>backend/app/Platform/EventBus/DomainEventDispatcher.php; Platform EventRecord/EventSubscription/dead-letter assets; backend/modules/EventManagement/Services/OutboxService.php; Models/OutboxEvent.php and OutboxEventConsumer.php; outbox migration with UNIQUE idempotency_key and UNIQUE(outbox_event_id, consumer_name); EventManagementServiceProvider.php; ProcessOutboxEventsCommand/job/processor paths; Accounting/event publishers and handlers; tests.</t>
  </si>
  <si>
    <t>DomainEventDispatcher contracts/models/migrations/subscriptions/dead letters; EventManagement outbox schema/service/jobs/consumers; all accounting/domain event publishers/handlers; Laravel events/listeners; transaction/after-commit behavior; retry/replay; module contracts; tests.</t>
  </si>
  <si>
    <t>Inventory every event producer, dispatcher, outbox writer, publisher, subscription and consumer. Map event names/versions/owners, transaction boundaries, retries/dead letters/replay and actual side effects. Prove one authority per event and that accounting-consumer success means a real canonical accounting side effect.</t>
  </si>
  <si>
    <t>Converge cross-module events on the Shared Platform Domain Event Bus as authority and subordinate/bridge durable outbox delivery to it. Preserve the outbox unique idempotency/per-consumer constraints, retry/log/checkpoint assets; fix processor runtime/registration; standardise one stable event/idempotency key contract; replace simulated Accounting success with a canonical subscribed handler that verifies the real side effect or returns failure. Cross-link transactional publication acceptance to ACC-RM-012.</t>
  </si>
  <si>
    <t>Authoritative event registry/version owner; originating transaction plus event-persistence failure-injection proof; duplicate dispatch/retry yields one consumer effect; stable idempotency key on replay; processor command/job is registered and runnable; readyForProcessing executes without namespace/runtime error; Accounting consumer success is backed by a real canonical accounting result and false accounting_entry_created metadata is impossible; retry/dead-letter/replay works; unique event/consumer constraints are preserved; no competing third event authority.</t>
  </si>
  <si>
    <t>VALIDATED at immutable main commit 5bb8de27d7c9e47cb312c240dc1119d42fba5a3a. Positive schema controls do not prove a functioning production event pipeline. Proven: false-success Accounting consumer, broken DB facade references in processing scopes, provider omission of the visible processor command, and conflicting idempotency-key generation. Evidence gap: any external scheduler/bootstrap path not represented in the traced module. Reuse/converge existing platform mechanisms; do not build an Accounting-local outbox.</t>
  </si>
  <si>
    <t>ACC-UI-RM-001</t>
  </si>
  <si>
    <t>UI/UX — Accounting Setup</t>
  </si>
  <si>
    <t>Accounting Domain Onboarding / Shared Onboarding</t>
  </si>
  <si>
    <t>Accounting onboarding must be a subscribed/domain-specific surface over the authoritative Shared Platform onboarding/setup state, not an independent completion authority.</t>
  </si>
  <si>
    <t>AccountingOnboardingPage operates a dedicated accounting onboarding session/step lifecycle and hard-coded setup choices. It is not yet demonstrated that completion is derived from or synchronised with the Shared Platform onboarding authority.</t>
  </si>
  <si>
    <t>frontend/src/pages/accounting/AccountingOnboardingPage.tsx uses /accounting/onboarding/steps and /accounting/onboarding/sessions APIs; Accounting sidebar exposes a separate Onboarding entry.</t>
  </si>
  <si>
    <t>AccountingOnboardingPage; accounting onboarding controllers/services/models/routes; Shared Platform onboarding/setup services; tenant/entity setup state; completion/readiness gates; navigation; tests.</t>
  </si>
  <si>
    <t>Trace source of truth for onboarding steps, completion and go-live. Prove Accounting consumes shared onboarding state and adds accounting-specific requirements only as domain contributions/projections. Identify duplicate sessions/statuses and conflicting completion paths.</t>
  </si>
  <si>
    <t>Make Shared Platform onboarding authoritative; Accounting contributes accounting-specific setup requirements and renders a contextual view. Remove/bridge duplicate completion authority and ensure go-live/readiness consumes the shared state.</t>
  </si>
  <si>
    <t>One authoritative onboarding status; Accounting view reflects same completion; completing in one surface updates the other; conflicting completion impossible; entitlement/role/entity tests; audit evidence.</t>
  </si>
  <si>
    <t>UI remediation; do not redesign shared onboarding inside Accounting.</t>
  </si>
  <si>
    <t>ACC-UI-RM-002</t>
  </si>
  <si>
    <t>UI/UX — Accounting Controls</t>
  </si>
  <si>
    <t>Locked-Period Override Workflow</t>
  </si>
  <si>
    <t>When a transaction is blocked by a locked period, the UI must expose the canonical BLOCKED reason and, only for authorised users/policies, a governed override/change-date/request-approval workflow. A generic error is insufficient.</t>
  </si>
  <si>
    <t>Journal/posting UI surfaces submit create/post/reverse actions and display generic API errors; a complete permission-aware locked-period resolution/override workflow is not demonstrated.</t>
  </si>
  <si>
    <t>frontend/src/pages/accounting/JournalEntriesPage.tsx; LockDatesPage.tsx; journalEntriesApi; PostingEngine/FiscalPeriodValidator/LockDate validation and override services.</t>
  </si>
  <si>
    <t>Journal/Bill/Invoice/OCR posting UIs; lock-date UI; posting outcome mapping; override APIs/policies; Shared Approval/RBAC; audit trail; tests.</t>
  </si>
  <si>
    <t>Trigger locked-period outcomes across each posting surface. Trace API reason/remediation metadata, authorised override eligibility, approval/SoD, date-change alternative, retry and audit. Prove UI never offers override to an unauthorised user.</t>
  </si>
  <si>
    <t>Render canonical BLOCKED reason/remediation from ACC-RM-010; add permission/policy-aware actions such as change date, request override/approval or cancel. Keep override authority in shared backend policy, not client logic.</t>
  </si>
  <si>
    <t>Locked-period post shows explicit reason; unauthorised user sees no override action; authorised override follows approval/SoD and logs reason; changed-date flow succeeds; stale lock state revalidated; UI/API tests.</t>
  </si>
  <si>
    <t>Cross-link ACC-RM-004/005/010/014/019; this row is the UX workflow, not the lock authority itself.</t>
  </si>
  <si>
    <t>ACC-UI-RM-003</t>
  </si>
  <si>
    <t>UI/UX — AI Digitalization</t>
  </si>
  <si>
    <t>OCR vs Canonical Document Authority / AI Digitalization UX</t>
  </si>
  <si>
    <t>OCR is a source-capture/AI digitalization workflow, not a second Invoice/Bill authority. Users must clearly distinguish captured source documents, review/classification, canonical promotion result and posted accounting document.</t>
  </si>
  <si>
    <t>Accounting navigation labels OCR as 'OCR Bookkeeping' and existing Vendor Bill/document experiences blur captured OCR artifacts with canonical business documents, creating authority ambiguity.</t>
  </si>
  <si>
    <t>frontend/src/components/layout/Sidebar.tsx; OCRDocumentsPage.tsx; OCRDocumentReviewPage.tsx; DocumentForm.tsx; VendorBills accounting pages; OCR promotion/posting APIs.</t>
  </si>
  <si>
    <t>Accounting/Vendor Bill navigation; OCR list/review; upload/classify/confirm/promote/post flows; canonical Bill/Invoice detail; destination lineage; permissions; AI confidence/warnings; tests.</t>
  </si>
  <si>
    <t>Trace the full user journey source capture→AI extraction/classification→human review→canonical promotion→posting. Identify every screen where OCR artifact and canonical Invoice/Bill are represented together and prove authority/status labels and destination linkage are unambiguous.</t>
  </si>
  <si>
    <t>Position OCR under Domain AI Digitalization/source capture, with optional OCR operations console. Show source status, review state, confidence, canonical destination and promotion/posting status separately. Canonical Invoice/Bill remains authoritative.</t>
  </si>
  <si>
    <t>User can identify source vs canonical document; promotion shows destination link; no duplicate editing authority after promotion; failed/review states clear; permissions enforced; UX tests.</t>
  </si>
  <si>
    <t>Cross-link ACC-RM-017/018 and OCR PRDs. AI suggestion may assist; human/accounting authority remains explicit.</t>
  </si>
  <si>
    <t>ACC-UI-RM-004</t>
  </si>
  <si>
    <t>UI/UX — Permission-Aware Actions</t>
  </si>
  <si>
    <t>Sensitive Accounting &amp; Close Actions</t>
  </si>
  <si>
    <t>Sensitive actions must be rendered from authoritative backend eligibility: permission, role/SoD, approval state, period/lock state and record lifecycle. UI visibility must not imply authority.</t>
  </si>
  <si>
    <t>Financial Close and accounting action surfaces expose status-based signoff/post/reverse controls, while complete permission/approval-aware action eligibility is not demonstrated.</t>
  </si>
  <si>
    <t>Financial Close pages; Accounting Journal/Invoice/Bill/Credit/Debit/Reconciliation pages; Sidebar requiredPermission support; backend AccountingAccess/RBAC/approval services.</t>
  </si>
  <si>
    <t>Every sensitive action button/menu; action-eligibility APIs; Shared RBAC; Shared Approval/Workflow; close/lock/reopen/risk acceptance; frontend state caching; tests.</t>
  </si>
  <si>
    <t>For each sensitive action, trace visible/enabled state to backend eligibility and execution-time revalidation. Test stale permissions/approval/lock state and self-approval/SoD. Identify actions controlled only by local status checks.</t>
  </si>
  <si>
    <t>Provide permission/policy-aware action eligibility from backend and render disabled/hidden state with reason where appropriate. Backend remains authoritative and revalidates on execution.</t>
  </si>
  <si>
    <t>Role without permission cannot see/execute sensitive action; stale permission fails safely; approval/SoD/lock state reflected; deep-link/API bypass still 403/BLOCKED; frontend tests.</t>
  </si>
  <si>
    <t>Cross-link ACC-RM-014 and ACC-RM-019.</t>
  </si>
  <si>
    <t>ACC-UI-RM-005</t>
  </si>
  <si>
    <t>UI/UX — Evidence &amp; Drill-Down</t>
  </si>
  <si>
    <t>Accounting Evidence Drill-Down</t>
  </si>
  <si>
    <t>Accounting reports and transaction surfaces must preserve canonical evidence references so authorised users can drill report→ledger→journal→origin document/source without manually reconstructing IDs.</t>
  </si>
  <si>
    <t>General-ledger/report pipelines can retain journal/source references internally, but reporting/API/UI projections strip or fail to expose sufficient authoritative references for end-to-end drill-down.</t>
  </si>
  <si>
    <t>GeneralLedgerService; FinancialReportController; GeneralLedger/TrialBalance/financial report pages; JournalEntry/JournalEntryLine source references; Shared Related Records Registry Service architecture.</t>
  </si>
  <si>
    <t>All financial report APIs/pages; ledger/journal detail; source-document links; Related Records Registry/Smart Button services; permission-safe metadata; exports; auditor handoff; tests.</t>
  </si>
  <si>
    <t>Trace each displayed balance/line to ledger entry, journal and originating canonical document/source. Identify where identifiers/references are stripped. Trace Shared Related Records Registry ownership and heterogeneous resource identity before implementing drill-down.</t>
  </si>
  <si>
    <t>Preserve canonical resource/evidence references in report DTOs and use Shared Platform Related Records Registry/approved module APIs for permission-safe drill-down. Do not create Accounting-local related-record authority.</t>
  </si>
  <si>
    <t>Report line→ledger lines→journal→source document/source attachment drill-down; permission denial test; export retains reference metadata where policy permits; no manual free-text ID lookup; related-record tests.</t>
  </si>
  <si>
    <t>Shared Related Records Registry is the target architecture; its current Contact-owned/UUID implementation still requires platform hardening and is not accepted as-is.</t>
  </si>
  <si>
    <t>ACC-UI-RM-006</t>
  </si>
  <si>
    <t>UI/UX — Auditor Workspace</t>
  </si>
  <si>
    <t>Auditor Canonical Evidence Linkage</t>
  </si>
  <si>
    <t>Auditor queries/findings must attach to canonical permission-safe evidence references, not user-entered source_type/source_id text that may be ambiguous or stale.</t>
  </si>
  <si>
    <t>Auditor query creation currently allows source_type selection and a free-text Source ID such as 'Invoice #12345'; canonical resource validation/resolution and evidence drill-down are not demonstrated.</t>
  </si>
  <si>
    <t>frontend/src/pages/auditor/AuditorQueriesPage.tsx; AuditQuery.php; AuditQueryController.php; auditor activity/export APIs.</t>
  </si>
  <si>
    <t>Auditor query UI/API/model; canonical resource resolver/Related Records Registry; report/journal/document drill-down; evidence attachments; permission/masking; audit trail; tests.</t>
  </si>
  <si>
    <t>Trace query creation from report/transaction/document context; prove source reference resolves to an existing canonical record with tenant/entity/book and permission scope. Test deleted/superseded/restricted sources and evidence handoff.</t>
  </si>
  <si>
    <t>Replace free-text evidence identity with canonical resource reference/selector or context-launched query creation. Preserve source label for display but store validated resource identity and evidence lineage.</t>
  </si>
  <si>
    <t>Create query from report line and source record; canonical link opens authorised evidence; invalid/restricted source rejected; superseded source lineage preserved; auditor export includes stable reference metadata; tests.</t>
  </si>
  <si>
    <t>Server-side auditor permissions are a positive control; this row concerns evidence identity/linkage.</t>
  </si>
  <si>
    <t>ACC-UI-RM-007</t>
  </si>
  <si>
    <t>UI/UX — OCR Accounting Mapping</t>
  </si>
  <si>
    <t>OCR Hard-Coded GL Account IDs</t>
  </si>
  <si>
    <t>OCR review/account assignment must load authoritative tenant/entity/book Chart of Accounts and permitted mapping roles; UI must never encode database primary keys as accounting meaning.</t>
  </si>
  <si>
    <t>OCR DocumentForm Account selector hard-codes SelectItem values 14, 15 and 16 labelled as 5000/5100/5200. Those IDs are tenant/database-specific and can map to the wrong account or no account.</t>
  </si>
  <si>
    <t>frontend/src/components/ocr/DocumentForm.tsx hard-codes account IDs 14/15/16; OCRDocumentReviewPage.tsx submits reviewed line_items; OcrPostingService.php consumes line_items[].account_id and passes explicit accountId into PostingEngine.</t>
  </si>
  <si>
    <t>DocumentForm; OCR review APIs; ChartOfAccounts API; AccountRoleResolver/AccountMappingService; OcrPostingService; PostingEngine; tenant/entity/book scope; permissions; tests.</t>
  </si>
  <si>
    <t>Trace account options from UI to PostingEngine. Prove selected account exists and is permitted in current tenant/entity/book, and determine whether OCR should select semantic mapping role/account key rather than raw GL ID for operational posting under ACC-RM-001.</t>
  </si>
  <si>
    <t>Remove hard-coded IDs immediately. Populate permitted accounts/mapping roles from authoritative API; validate selection server-side; align operational OCR posting with central posting-policy remediation under ACC-RM-001.</t>
  </si>
  <si>
    <t>No numeric hard-coded account IDs; tenant A/B receive their own accounts; invalid/cross-entity account rejected; renamed/re-numbered account still resolves correctly; OCR post uses approved mapping contract; UI/API tests.</t>
  </si>
  <si>
    <t>Directly validated in current main: DocumentForm.tsx encodes 14/15/16 and OcrPostingService consumes explicit account_id.</t>
  </si>
  <si>
    <t>ACC-UI-RM-008</t>
  </si>
  <si>
    <t>UI/UX — Accounting Information Architecture</t>
  </si>
  <si>
    <t>Credit/Debit Note Discoverability</t>
  </si>
  <si>
    <t>Credit Notes and Debit Notes are first-class accounting capabilities and must be discoverable from the Accounting information architecture according to role/entitlement, while still linking contextually from Invoice/Bill records.</t>
  </si>
  <si>
    <t>Customer Credit Note, Vendor Credit Note and Vendor Debit Note routes/pages are implemented, but the Accounting sidebar does not expose them. Users must know hidden routes or reach them indirectly, so implemented financial correction capability is not discoverable.</t>
  </si>
  <si>
    <t>frontend/src/App.tsx defines /accounting/customers/credit-notes and related Vendor Credit/Debit Note pages/routes; frontend/src/components/layout/Sidebar.tsx Accounting children include invoices/bills/reconciliation/etc. but omit Credit Notes and Debit Notes.</t>
  </si>
  <si>
    <t>App.tsx accounting routes; Sidebar.tsx/navigation registry; CustomerCreditNotesPage; VendorCreditNotesPage; VendorDebitNotesPage; invoice/bill contextual components; permissions/entitlements; tests.</t>
  </si>
  <si>
    <t>Trace every Credit/Debit Note entry point, role/entitlement condition, contextual source link and navigation registry. Confirm whether separate menu items or grouped 'Adjustments/Credit &amp; Debit Notes' best preserves accounting IA without duplicating business objects.</t>
  </si>
  <si>
    <t>Expose the existing canonical capabilities through Accounting navigation/registered information architecture with permission-aware counts/links; retain contextual access from Invoice/Bill detail. Do not create duplicate Credit/Debit Note objects.</t>
  </si>
  <si>
    <t>Authorised user can discover Customer Credit Notes, Vendor Credit Notes and Vendor Debit Notes from Accounting; unauthorised/disabled capability hidden; contextual links still work; routes resolve canonical existing pages; navigation tests.</t>
  </si>
  <si>
    <t>Finding directly validated: capability exists in routes/pages but is absent from Accounting sidebar navigation.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</si>
</sst>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i/>
      <color rgb="FF3F3F3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284C"/>
        <bgColor rgb="FF11284C"/>
      </patternFill>
    </fill>
    <fill>
      <patternFill patternType="solid">
        <fgColor rgb="FF214977"/>
        <bgColor rgb="FF214977"/>
      </patternFill>
    </fill>
    <fill>
      <patternFill patternType="solid">
        <fgColor rgb="FFE5EFF9"/>
        <bgColor rgb="FFE5EFF9"/>
      </patternFill>
    </fill>
    <fill>
      <patternFill patternType="solid">
        <fgColor rgb="FFFFF1CC"/>
        <bgColor rgb="FFFFF1CC"/>
      </patternFill>
    </fill>
    <fill>
      <patternFill patternType="solid">
        <fgColor rgb="FF1A3C5E"/>
        <bgColor rgb="FF1A3C5E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vertical="center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5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Font="1"/>
    <xf borderId="0" fillId="0" fontId="5" numFmtId="164" xfId="0" applyAlignment="1" applyFont="1" applyNumberFormat="1">
      <alignment readingOrder="0" shrinkToFit="0" vertical="top" wrapText="1"/>
    </xf>
    <xf borderId="0" fillId="0" fontId="5" numFmtId="165" xfId="0" applyFont="1" applyNumberForma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4" width="18.25"/>
    <col customWidth="1" min="5" max="6" width="32.63"/>
    <col customWidth="1" min="7" max="7" width="61.63"/>
    <col customWidth="1" min="8" max="8" width="67.88"/>
    <col customWidth="1" min="9" max="9" width="52.63"/>
    <col customWidth="1" min="10" max="10" width="16.38"/>
    <col customWidth="1" min="11" max="12" width="37.63"/>
    <col customWidth="1" min="13" max="14" width="32.63"/>
    <col customWidth="1" min="15" max="20" width="18.25"/>
    <col customWidth="1" min="21" max="21" width="62.63"/>
    <col customWidth="1" min="22" max="22" width="18.25"/>
  </cols>
  <sheetData>
    <row r="1">
      <c r="A1" s="2" t="s">
        <v>2</v>
      </c>
    </row>
    <row r="2">
      <c r="A2" s="4" t="s">
        <v>7</v>
      </c>
    </row>
    <row r="3">
      <c r="A3" s="6" t="s">
        <v>11</v>
      </c>
    </row>
    <row r="4">
      <c r="A4" s="8" t="s">
        <v>18</v>
      </c>
      <c r="B4" s="8" t="s">
        <v>24</v>
      </c>
      <c r="C4" s="8" t="s">
        <v>25</v>
      </c>
      <c r="D4" s="8" t="s">
        <v>27</v>
      </c>
      <c r="E4" s="8" t="s">
        <v>30</v>
      </c>
      <c r="F4" s="8" t="s">
        <v>32</v>
      </c>
      <c r="G4" s="8" t="s">
        <v>35</v>
      </c>
      <c r="H4" s="8" t="s">
        <v>37</v>
      </c>
      <c r="I4" s="8" t="s">
        <v>40</v>
      </c>
      <c r="J4" s="8" t="s">
        <v>42</v>
      </c>
      <c r="K4" s="8" t="s">
        <v>45</v>
      </c>
      <c r="L4" s="8" t="s">
        <v>47</v>
      </c>
      <c r="M4" s="8" t="s">
        <v>50</v>
      </c>
      <c r="N4" s="8" t="s">
        <v>52</v>
      </c>
      <c r="O4" s="8" t="s">
        <v>54</v>
      </c>
      <c r="P4" s="8" t="s">
        <v>55</v>
      </c>
      <c r="Q4" s="8" t="s">
        <v>57</v>
      </c>
      <c r="R4" s="8" t="s">
        <v>59</v>
      </c>
      <c r="S4" s="8" t="s">
        <v>61</v>
      </c>
      <c r="T4" s="8" t="s">
        <v>63</v>
      </c>
      <c r="U4" s="8" t="s">
        <v>65</v>
      </c>
      <c r="V4" s="8" t="s">
        <v>66</v>
      </c>
    </row>
    <row r="5">
      <c r="A5" s="9" t="s">
        <v>69</v>
      </c>
      <c r="B5" s="9" t="s">
        <v>72</v>
      </c>
      <c r="C5" s="9" t="s">
        <v>74</v>
      </c>
      <c r="D5" s="9" t="s">
        <v>75</v>
      </c>
      <c r="E5" s="9" t="s">
        <v>78</v>
      </c>
      <c r="F5" s="9" t="s">
        <v>81</v>
      </c>
      <c r="G5" s="10" t="s">
        <v>87</v>
      </c>
      <c r="H5" s="10" t="s">
        <v>92</v>
      </c>
      <c r="I5" s="10" t="s">
        <v>95</v>
      </c>
      <c r="J5" s="10" t="s">
        <v>102</v>
      </c>
      <c r="K5" s="9" t="s">
        <v>104</v>
      </c>
      <c r="L5" s="9" t="s">
        <v>104</v>
      </c>
      <c r="M5" s="9" t="s">
        <v>108</v>
      </c>
      <c r="N5" s="9" t="s">
        <v>110</v>
      </c>
      <c r="O5" s="9" t="s">
        <v>104</v>
      </c>
      <c r="P5" s="9" t="s">
        <v>104</v>
      </c>
      <c r="Q5" s="9" t="s">
        <v>17</v>
      </c>
      <c r="R5" s="10" t="s">
        <v>123</v>
      </c>
      <c r="S5" s="9" t="s">
        <v>97</v>
      </c>
      <c r="T5" s="9" t="s">
        <v>150</v>
      </c>
      <c r="U5" s="9" t="s">
        <v>154</v>
      </c>
      <c r="V5" s="12">
        <v>46248.0</v>
      </c>
    </row>
    <row r="6">
      <c r="A6" s="9" t="s">
        <v>170</v>
      </c>
      <c r="B6" s="9" t="s">
        <v>72</v>
      </c>
      <c r="C6" s="9" t="s">
        <v>74</v>
      </c>
      <c r="D6" s="9" t="s">
        <v>75</v>
      </c>
      <c r="E6" s="9" t="s">
        <v>174</v>
      </c>
      <c r="F6" s="9" t="s">
        <v>176</v>
      </c>
      <c r="G6" s="10" t="s">
        <v>180</v>
      </c>
      <c r="H6" s="10" t="s">
        <v>182</v>
      </c>
      <c r="I6" s="10" t="s">
        <v>186</v>
      </c>
      <c r="J6" s="10" t="s">
        <v>102</v>
      </c>
      <c r="K6" s="9" t="s">
        <v>104</v>
      </c>
      <c r="L6" s="9" t="s">
        <v>104</v>
      </c>
      <c r="M6" s="9" t="s">
        <v>191</v>
      </c>
      <c r="N6" s="9" t="s">
        <v>193</v>
      </c>
      <c r="O6" s="9" t="s">
        <v>104</v>
      </c>
      <c r="P6" s="9" t="s">
        <v>104</v>
      </c>
      <c r="Q6" s="9" t="s">
        <v>17</v>
      </c>
      <c r="R6" s="9" t="s">
        <v>123</v>
      </c>
      <c r="S6" s="9" t="s">
        <v>97</v>
      </c>
      <c r="T6" s="9" t="s">
        <v>150</v>
      </c>
      <c r="U6" s="9" t="s">
        <v>201</v>
      </c>
      <c r="V6" s="12">
        <v>46248.0</v>
      </c>
    </row>
    <row r="7">
      <c r="A7" s="9" t="s">
        <v>202</v>
      </c>
      <c r="B7" s="9" t="s">
        <v>72</v>
      </c>
      <c r="C7" s="9" t="s">
        <v>74</v>
      </c>
      <c r="D7" s="9" t="s">
        <v>75</v>
      </c>
      <c r="E7" s="9" t="s">
        <v>205</v>
      </c>
      <c r="F7" s="9" t="s">
        <v>209</v>
      </c>
      <c r="G7" s="10" t="s">
        <v>213</v>
      </c>
      <c r="H7" s="10" t="s">
        <v>214</v>
      </c>
      <c r="I7" s="9" t="s">
        <v>216</v>
      </c>
      <c r="J7" s="10" t="s">
        <v>128</v>
      </c>
      <c r="K7" s="9" t="s">
        <v>104</v>
      </c>
      <c r="L7" s="9" t="s">
        <v>104</v>
      </c>
      <c r="M7" s="9" t="s">
        <v>221</v>
      </c>
      <c r="N7" s="9" t="s">
        <v>223</v>
      </c>
      <c r="O7" s="9" t="s">
        <v>104</v>
      </c>
      <c r="P7" s="9" t="s">
        <v>104</v>
      </c>
      <c r="Q7" s="9" t="s">
        <v>17</v>
      </c>
      <c r="R7" s="9" t="s">
        <v>123</v>
      </c>
      <c r="S7" s="9" t="s">
        <v>97</v>
      </c>
      <c r="T7" s="9" t="s">
        <v>150</v>
      </c>
      <c r="U7" s="9" t="s">
        <v>233</v>
      </c>
      <c r="V7" s="12">
        <v>46248.0</v>
      </c>
    </row>
    <row r="8">
      <c r="A8" s="9" t="s">
        <v>236</v>
      </c>
      <c r="B8" s="9" t="s">
        <v>238</v>
      </c>
      <c r="C8" s="9" t="s">
        <v>246</v>
      </c>
      <c r="D8" s="9" t="s">
        <v>248</v>
      </c>
      <c r="E8" s="9" t="s">
        <v>251</v>
      </c>
      <c r="F8" s="9" t="s">
        <v>253</v>
      </c>
      <c r="G8" s="10" t="s">
        <v>254</v>
      </c>
      <c r="H8" s="10" t="s">
        <v>257</v>
      </c>
      <c r="I8" s="9" t="s">
        <v>259</v>
      </c>
      <c r="J8" s="10" t="s">
        <v>140</v>
      </c>
      <c r="K8" s="9" t="s">
        <v>104</v>
      </c>
      <c r="L8" s="9" t="s">
        <v>104</v>
      </c>
      <c r="M8" s="9" t="s">
        <v>263</v>
      </c>
      <c r="N8" s="9" t="s">
        <v>264</v>
      </c>
      <c r="O8" s="9" t="s">
        <v>104</v>
      </c>
      <c r="P8" s="9" t="s">
        <v>104</v>
      </c>
      <c r="Q8" s="9" t="s">
        <v>17</v>
      </c>
      <c r="R8" s="9" t="s">
        <v>123</v>
      </c>
      <c r="S8" s="9" t="s">
        <v>97</v>
      </c>
      <c r="T8" s="9" t="s">
        <v>150</v>
      </c>
      <c r="U8" s="9" t="s">
        <v>272</v>
      </c>
      <c r="V8" s="12">
        <v>46248.0</v>
      </c>
    </row>
    <row r="9">
      <c r="A9" s="9" t="s">
        <v>273</v>
      </c>
      <c r="B9" s="9" t="s">
        <v>238</v>
      </c>
      <c r="C9" s="9" t="s">
        <v>274</v>
      </c>
      <c r="D9" s="9" t="s">
        <v>248</v>
      </c>
      <c r="E9" s="9" t="s">
        <v>275</v>
      </c>
      <c r="F9" s="9" t="s">
        <v>276</v>
      </c>
      <c r="G9" s="9" t="s">
        <v>278</v>
      </c>
      <c r="H9" s="9" t="s">
        <v>280</v>
      </c>
      <c r="I9" s="9" t="s">
        <v>281</v>
      </c>
      <c r="J9" s="9" t="s">
        <v>128</v>
      </c>
      <c r="K9" s="9" t="s">
        <v>104</v>
      </c>
      <c r="L9" s="9" t="s">
        <v>104</v>
      </c>
      <c r="M9" s="9" t="s">
        <v>282</v>
      </c>
      <c r="N9" s="9" t="s">
        <v>283</v>
      </c>
      <c r="O9" s="9" t="s">
        <v>104</v>
      </c>
      <c r="P9" s="9" t="s">
        <v>104</v>
      </c>
      <c r="Q9" s="9" t="s">
        <v>17</v>
      </c>
      <c r="R9" s="9" t="s">
        <v>123</v>
      </c>
      <c r="S9" s="9" t="s">
        <v>97</v>
      </c>
      <c r="T9" s="9" t="s">
        <v>150</v>
      </c>
      <c r="U9" s="9" t="s">
        <v>284</v>
      </c>
      <c r="V9" s="12">
        <v>46248.0</v>
      </c>
    </row>
    <row r="10">
      <c r="A10" s="9" t="s">
        <v>285</v>
      </c>
      <c r="B10" s="9" t="s">
        <v>286</v>
      </c>
      <c r="C10" s="9" t="s">
        <v>287</v>
      </c>
      <c r="D10" s="9" t="s">
        <v>75</v>
      </c>
      <c r="E10" s="9" t="s">
        <v>288</v>
      </c>
      <c r="F10" s="9" t="s">
        <v>289</v>
      </c>
      <c r="G10" s="9" t="s">
        <v>290</v>
      </c>
      <c r="H10" s="9" t="s">
        <v>291</v>
      </c>
      <c r="I10" s="9" t="s">
        <v>293</v>
      </c>
      <c r="J10" s="9" t="s">
        <v>128</v>
      </c>
      <c r="K10" s="9" t="s">
        <v>104</v>
      </c>
      <c r="L10" s="9" t="s">
        <v>104</v>
      </c>
      <c r="M10" s="9" t="s">
        <v>295</v>
      </c>
      <c r="N10" s="9" t="s">
        <v>297</v>
      </c>
      <c r="O10" s="9" t="s">
        <v>104</v>
      </c>
      <c r="P10" s="9" t="s">
        <v>104</v>
      </c>
      <c r="Q10" s="9" t="s">
        <v>17</v>
      </c>
      <c r="R10" s="9" t="s">
        <v>123</v>
      </c>
      <c r="S10" s="9" t="s">
        <v>97</v>
      </c>
      <c r="T10" s="9" t="s">
        <v>150</v>
      </c>
      <c r="U10" s="9" t="s">
        <v>307</v>
      </c>
      <c r="V10" s="12">
        <v>46248.0</v>
      </c>
    </row>
    <row r="11">
      <c r="A11" s="9" t="s">
        <v>308</v>
      </c>
      <c r="B11" s="9" t="s">
        <v>286</v>
      </c>
      <c r="C11" s="9" t="s">
        <v>310</v>
      </c>
      <c r="D11" s="9" t="s">
        <v>248</v>
      </c>
      <c r="E11" s="9" t="s">
        <v>312</v>
      </c>
      <c r="F11" s="9" t="s">
        <v>314</v>
      </c>
      <c r="G11" s="9" t="s">
        <v>315</v>
      </c>
      <c r="H11" s="9" t="s">
        <v>317</v>
      </c>
      <c r="I11" s="9" t="s">
        <v>319</v>
      </c>
      <c r="J11" s="9" t="s">
        <v>128</v>
      </c>
      <c r="K11" s="9" t="s">
        <v>104</v>
      </c>
      <c r="L11" s="9" t="s">
        <v>104</v>
      </c>
      <c r="M11" s="9" t="s">
        <v>321</v>
      </c>
      <c r="N11" s="9" t="s">
        <v>323</v>
      </c>
      <c r="O11" s="9" t="s">
        <v>104</v>
      </c>
      <c r="P11" s="9" t="s">
        <v>104</v>
      </c>
      <c r="Q11" s="9" t="s">
        <v>17</v>
      </c>
      <c r="R11" s="9" t="s">
        <v>123</v>
      </c>
      <c r="S11" s="9" t="s">
        <v>97</v>
      </c>
      <c r="T11" s="9" t="s">
        <v>150</v>
      </c>
      <c r="U11" s="9" t="s">
        <v>328</v>
      </c>
      <c r="V11" s="12">
        <v>46248.0</v>
      </c>
    </row>
    <row r="12">
      <c r="A12" s="9" t="s">
        <v>329</v>
      </c>
      <c r="B12" s="9" t="s">
        <v>286</v>
      </c>
      <c r="C12" s="9" t="s">
        <v>310</v>
      </c>
      <c r="D12" s="9" t="s">
        <v>75</v>
      </c>
      <c r="E12" s="9" t="s">
        <v>332</v>
      </c>
      <c r="F12" s="9" t="s">
        <v>334</v>
      </c>
      <c r="G12" s="9" t="s">
        <v>335</v>
      </c>
      <c r="H12" s="9" t="s">
        <v>337</v>
      </c>
      <c r="I12" s="9" t="s">
        <v>338</v>
      </c>
      <c r="J12" s="9" t="s">
        <v>128</v>
      </c>
      <c r="K12" s="9" t="s">
        <v>104</v>
      </c>
      <c r="L12" s="9" t="s">
        <v>104</v>
      </c>
      <c r="M12" s="9" t="s">
        <v>343</v>
      </c>
      <c r="N12" s="9" t="s">
        <v>344</v>
      </c>
      <c r="O12" s="9" t="s">
        <v>104</v>
      </c>
      <c r="P12" s="9" t="s">
        <v>104</v>
      </c>
      <c r="Q12" s="9" t="s">
        <v>17</v>
      </c>
      <c r="R12" s="9" t="s">
        <v>123</v>
      </c>
      <c r="S12" s="9" t="s">
        <v>97</v>
      </c>
      <c r="T12" s="9" t="s">
        <v>150</v>
      </c>
      <c r="U12" s="9" t="s">
        <v>351</v>
      </c>
      <c r="V12" s="12">
        <v>46248.0</v>
      </c>
    </row>
    <row r="13">
      <c r="A13" s="9" t="s">
        <v>354</v>
      </c>
      <c r="B13" s="9" t="s">
        <v>286</v>
      </c>
      <c r="C13" s="9" t="s">
        <v>356</v>
      </c>
      <c r="D13" s="9" t="s">
        <v>75</v>
      </c>
      <c r="E13" s="9" t="s">
        <v>358</v>
      </c>
      <c r="F13" s="9" t="s">
        <v>360</v>
      </c>
      <c r="G13" s="9" t="s">
        <v>362</v>
      </c>
      <c r="H13" s="9" t="s">
        <v>363</v>
      </c>
      <c r="I13" s="9" t="s">
        <v>364</v>
      </c>
      <c r="J13" s="9" t="s">
        <v>128</v>
      </c>
      <c r="K13" s="9" t="s">
        <v>104</v>
      </c>
      <c r="L13" s="9" t="s">
        <v>104</v>
      </c>
      <c r="M13" s="9" t="s">
        <v>368</v>
      </c>
      <c r="N13" s="9" t="s">
        <v>370</v>
      </c>
      <c r="O13" s="9" t="s">
        <v>104</v>
      </c>
      <c r="P13" s="9" t="s">
        <v>104</v>
      </c>
      <c r="Q13" s="9" t="s">
        <v>17</v>
      </c>
      <c r="R13" s="9" t="s">
        <v>123</v>
      </c>
      <c r="S13" s="9" t="s">
        <v>97</v>
      </c>
      <c r="T13" s="9" t="s">
        <v>150</v>
      </c>
      <c r="U13" s="9" t="s">
        <v>375</v>
      </c>
      <c r="V13" s="12">
        <v>46248.0</v>
      </c>
    </row>
    <row r="14">
      <c r="A14" s="9" t="s">
        <v>377</v>
      </c>
      <c r="B14" s="9" t="s">
        <v>238</v>
      </c>
      <c r="C14" s="9" t="s">
        <v>74</v>
      </c>
      <c r="D14" s="9" t="s">
        <v>248</v>
      </c>
      <c r="E14" s="9" t="s">
        <v>380</v>
      </c>
      <c r="F14" s="9" t="s">
        <v>381</v>
      </c>
      <c r="G14" s="9" t="s">
        <v>382</v>
      </c>
      <c r="H14" s="9" t="s">
        <v>384</v>
      </c>
      <c r="I14" s="9" t="s">
        <v>386</v>
      </c>
      <c r="J14" s="9" t="s">
        <v>128</v>
      </c>
      <c r="K14" s="9" t="s">
        <v>104</v>
      </c>
      <c r="L14" s="9" t="s">
        <v>104</v>
      </c>
      <c r="M14" s="9" t="s">
        <v>388</v>
      </c>
      <c r="N14" s="9" t="s">
        <v>389</v>
      </c>
      <c r="O14" s="9" t="s">
        <v>104</v>
      </c>
      <c r="P14" s="9" t="s">
        <v>104</v>
      </c>
      <c r="Q14" s="9" t="s">
        <v>17</v>
      </c>
      <c r="R14" s="9" t="s">
        <v>123</v>
      </c>
      <c r="S14" s="9" t="s">
        <v>97</v>
      </c>
      <c r="T14" s="9" t="s">
        <v>150</v>
      </c>
      <c r="U14" s="9" t="s">
        <v>390</v>
      </c>
      <c r="V14" s="12">
        <v>46248.0</v>
      </c>
    </row>
    <row r="15">
      <c r="A15" s="9" t="s">
        <v>391</v>
      </c>
      <c r="B15" s="9" t="s">
        <v>238</v>
      </c>
      <c r="C15" s="9" t="s">
        <v>74</v>
      </c>
      <c r="D15" s="9" t="s">
        <v>248</v>
      </c>
      <c r="E15" s="9" t="s">
        <v>392</v>
      </c>
      <c r="F15" s="9" t="s">
        <v>393</v>
      </c>
      <c r="G15" s="9" t="s">
        <v>394</v>
      </c>
      <c r="H15" s="9" t="s">
        <v>395</v>
      </c>
      <c r="I15" s="9" t="s">
        <v>396</v>
      </c>
      <c r="J15" s="9" t="s">
        <v>128</v>
      </c>
      <c r="K15" s="9" t="s">
        <v>104</v>
      </c>
      <c r="L15" s="9" t="s">
        <v>104</v>
      </c>
      <c r="M15" s="9" t="s">
        <v>397</v>
      </c>
      <c r="N15" s="9" t="s">
        <v>398</v>
      </c>
      <c r="O15" s="9" t="s">
        <v>104</v>
      </c>
      <c r="P15" s="9" t="s">
        <v>104</v>
      </c>
      <c r="Q15" s="9" t="s">
        <v>17</v>
      </c>
      <c r="R15" s="9" t="s">
        <v>123</v>
      </c>
      <c r="S15" s="9" t="s">
        <v>97</v>
      </c>
      <c r="T15" s="9" t="s">
        <v>150</v>
      </c>
      <c r="U15" s="9" t="s">
        <v>399</v>
      </c>
      <c r="V15" s="12">
        <v>46248.0</v>
      </c>
    </row>
    <row r="16">
      <c r="A16" s="9" t="s">
        <v>400</v>
      </c>
      <c r="B16" s="9" t="s">
        <v>238</v>
      </c>
      <c r="C16" s="9" t="s">
        <v>401</v>
      </c>
      <c r="D16" s="9" t="s">
        <v>75</v>
      </c>
      <c r="E16" s="9" t="s">
        <v>402</v>
      </c>
      <c r="F16" s="9" t="s">
        <v>403</v>
      </c>
      <c r="G16" s="9" t="s">
        <v>404</v>
      </c>
      <c r="H16" s="9" t="s">
        <v>405</v>
      </c>
      <c r="I16" s="9" t="s">
        <v>406</v>
      </c>
      <c r="J16" s="9" t="s">
        <v>128</v>
      </c>
      <c r="K16" s="9" t="s">
        <v>104</v>
      </c>
      <c r="L16" s="9" t="s">
        <v>104</v>
      </c>
      <c r="M16" s="9" t="s">
        <v>407</v>
      </c>
      <c r="N16" s="9" t="s">
        <v>408</v>
      </c>
      <c r="O16" s="9" t="s">
        <v>104</v>
      </c>
      <c r="P16" s="9" t="s">
        <v>104</v>
      </c>
      <c r="Q16" s="9" t="s">
        <v>17</v>
      </c>
      <c r="R16" s="9" t="s">
        <v>123</v>
      </c>
      <c r="S16" s="9" t="s">
        <v>97</v>
      </c>
      <c r="T16" s="9" t="s">
        <v>150</v>
      </c>
      <c r="U16" s="9" t="s">
        <v>409</v>
      </c>
      <c r="V16" s="12">
        <v>46248.0</v>
      </c>
    </row>
    <row r="17">
      <c r="A17" s="9" t="s">
        <v>410</v>
      </c>
      <c r="B17" s="9" t="s">
        <v>411</v>
      </c>
      <c r="C17" s="9" t="s">
        <v>412</v>
      </c>
      <c r="D17" s="9" t="s">
        <v>248</v>
      </c>
      <c r="E17" s="9" t="s">
        <v>413</v>
      </c>
      <c r="F17" s="9" t="s">
        <v>414</v>
      </c>
      <c r="G17" s="9" t="s">
        <v>415</v>
      </c>
      <c r="H17" s="9" t="s">
        <v>416</v>
      </c>
      <c r="I17" s="9" t="s">
        <v>417</v>
      </c>
      <c r="J17" s="9" t="s">
        <v>128</v>
      </c>
      <c r="K17" s="9" t="s">
        <v>104</v>
      </c>
      <c r="L17" s="9" t="s">
        <v>104</v>
      </c>
      <c r="M17" s="9" t="s">
        <v>418</v>
      </c>
      <c r="N17" s="9" t="s">
        <v>419</v>
      </c>
      <c r="O17" s="9" t="s">
        <v>104</v>
      </c>
      <c r="P17" s="9" t="s">
        <v>104</v>
      </c>
      <c r="Q17" s="9" t="s">
        <v>17</v>
      </c>
      <c r="R17" s="9" t="s">
        <v>123</v>
      </c>
      <c r="S17" s="9" t="s">
        <v>97</v>
      </c>
      <c r="T17" s="9" t="s">
        <v>150</v>
      </c>
      <c r="U17" s="9" t="s">
        <v>420</v>
      </c>
      <c r="V17" s="12">
        <v>46248.0</v>
      </c>
    </row>
    <row r="18">
      <c r="A18" s="9" t="s">
        <v>421</v>
      </c>
      <c r="B18" s="9" t="s">
        <v>286</v>
      </c>
      <c r="C18" s="9" t="s">
        <v>422</v>
      </c>
      <c r="D18" s="9" t="s">
        <v>75</v>
      </c>
      <c r="E18" s="9" t="s">
        <v>423</v>
      </c>
      <c r="F18" s="9" t="s">
        <v>424</v>
      </c>
      <c r="G18" s="9" t="s">
        <v>425</v>
      </c>
      <c r="H18" s="9" t="s">
        <v>426</v>
      </c>
      <c r="I18" s="9" t="s">
        <v>427</v>
      </c>
      <c r="J18" s="9" t="s">
        <v>128</v>
      </c>
      <c r="K18" s="9" t="s">
        <v>104</v>
      </c>
      <c r="L18" s="9" t="s">
        <v>104</v>
      </c>
      <c r="M18" s="9" t="s">
        <v>428</v>
      </c>
      <c r="N18" s="9" t="s">
        <v>429</v>
      </c>
      <c r="O18" s="9" t="s">
        <v>104</v>
      </c>
      <c r="P18" s="9" t="s">
        <v>104</v>
      </c>
      <c r="Q18" s="9" t="s">
        <v>17</v>
      </c>
      <c r="R18" s="9" t="s">
        <v>123</v>
      </c>
      <c r="S18" s="9" t="s">
        <v>97</v>
      </c>
      <c r="T18" s="9" t="s">
        <v>150</v>
      </c>
      <c r="U18" s="9" t="s">
        <v>430</v>
      </c>
      <c r="V18" s="12">
        <v>46248.0</v>
      </c>
    </row>
    <row r="19">
      <c r="A19" s="9" t="s">
        <v>431</v>
      </c>
      <c r="B19" s="9" t="s">
        <v>238</v>
      </c>
      <c r="C19" s="9" t="s">
        <v>432</v>
      </c>
      <c r="D19" s="9" t="s">
        <v>248</v>
      </c>
      <c r="E19" s="9" t="s">
        <v>433</v>
      </c>
      <c r="F19" s="9" t="s">
        <v>434</v>
      </c>
      <c r="G19" s="9" t="s">
        <v>435</v>
      </c>
      <c r="H19" s="9" t="s">
        <v>436</v>
      </c>
      <c r="I19" s="9" t="s">
        <v>437</v>
      </c>
      <c r="J19" s="9" t="s">
        <v>128</v>
      </c>
      <c r="K19" s="9" t="s">
        <v>104</v>
      </c>
      <c r="L19" s="9" t="s">
        <v>104</v>
      </c>
      <c r="M19" s="9" t="s">
        <v>438</v>
      </c>
      <c r="N19" s="9" t="s">
        <v>439</v>
      </c>
      <c r="O19" s="9" t="s">
        <v>104</v>
      </c>
      <c r="P19" s="9" t="s">
        <v>104</v>
      </c>
      <c r="Q19" s="9" t="s">
        <v>17</v>
      </c>
      <c r="R19" s="9" t="s">
        <v>123</v>
      </c>
      <c r="S19" s="9" t="s">
        <v>97</v>
      </c>
      <c r="T19" s="9" t="s">
        <v>150</v>
      </c>
      <c r="U19" s="9" t="s">
        <v>440</v>
      </c>
      <c r="V19" s="12">
        <v>46248.0</v>
      </c>
    </row>
    <row r="20">
      <c r="A20" s="9" t="s">
        <v>441</v>
      </c>
      <c r="B20" s="9" t="s">
        <v>238</v>
      </c>
      <c r="C20" s="9" t="s">
        <v>442</v>
      </c>
      <c r="D20" s="9" t="s">
        <v>75</v>
      </c>
      <c r="E20" s="9" t="s">
        <v>443</v>
      </c>
      <c r="F20" s="9" t="s">
        <v>444</v>
      </c>
      <c r="G20" s="9" t="s">
        <v>445</v>
      </c>
      <c r="H20" s="9" t="s">
        <v>446</v>
      </c>
      <c r="I20" s="9" t="s">
        <v>447</v>
      </c>
      <c r="J20" s="9" t="s">
        <v>128</v>
      </c>
      <c r="K20" s="14"/>
      <c r="L20" s="14"/>
      <c r="M20" s="9" t="s">
        <v>448</v>
      </c>
      <c r="N20" s="9" t="s">
        <v>449</v>
      </c>
      <c r="O20" s="14"/>
      <c r="P20" s="14"/>
      <c r="Q20" s="9" t="s">
        <v>17</v>
      </c>
      <c r="R20" s="9" t="s">
        <v>123</v>
      </c>
      <c r="S20" s="9" t="s">
        <v>97</v>
      </c>
      <c r="T20" s="9" t="s">
        <v>150</v>
      </c>
      <c r="U20" s="9" t="s">
        <v>450</v>
      </c>
      <c r="V20" s="12">
        <v>46248.0</v>
      </c>
    </row>
    <row r="21">
      <c r="A21" s="9" t="s">
        <v>451</v>
      </c>
      <c r="B21" s="9" t="s">
        <v>238</v>
      </c>
      <c r="C21" s="9" t="s">
        <v>452</v>
      </c>
      <c r="D21" s="9" t="s">
        <v>75</v>
      </c>
      <c r="E21" s="9" t="s">
        <v>453</v>
      </c>
      <c r="F21" s="9" t="s">
        <v>454</v>
      </c>
      <c r="G21" s="9" t="s">
        <v>455</v>
      </c>
      <c r="H21" s="9" t="s">
        <v>456</v>
      </c>
      <c r="I21" s="9" t="s">
        <v>457</v>
      </c>
      <c r="J21" s="9" t="s">
        <v>128</v>
      </c>
      <c r="K21" s="14"/>
      <c r="L21" s="14"/>
      <c r="M21" s="9" t="s">
        <v>458</v>
      </c>
      <c r="N21" s="9" t="s">
        <v>459</v>
      </c>
      <c r="O21" s="14"/>
      <c r="P21" s="14"/>
      <c r="Q21" s="9" t="s">
        <v>17</v>
      </c>
      <c r="R21" s="9" t="s">
        <v>123</v>
      </c>
      <c r="S21" s="9" t="s">
        <v>97</v>
      </c>
      <c r="T21" s="9" t="s">
        <v>150</v>
      </c>
      <c r="U21" s="9" t="s">
        <v>460</v>
      </c>
      <c r="V21" s="12">
        <v>46248.0</v>
      </c>
    </row>
    <row r="22">
      <c r="A22" s="9" t="s">
        <v>461</v>
      </c>
      <c r="B22" s="9" t="s">
        <v>238</v>
      </c>
      <c r="C22" s="9" t="s">
        <v>462</v>
      </c>
      <c r="D22" s="9" t="s">
        <v>75</v>
      </c>
      <c r="E22" s="9" t="s">
        <v>463</v>
      </c>
      <c r="F22" s="9" t="s">
        <v>464</v>
      </c>
      <c r="G22" s="9" t="s">
        <v>465</v>
      </c>
      <c r="H22" s="9" t="s">
        <v>466</v>
      </c>
      <c r="I22" s="9" t="s">
        <v>467</v>
      </c>
      <c r="J22" s="9" t="s">
        <v>128</v>
      </c>
      <c r="K22" s="14"/>
      <c r="L22" s="14"/>
      <c r="M22" s="9" t="s">
        <v>468</v>
      </c>
      <c r="N22" s="9" t="s">
        <v>469</v>
      </c>
      <c r="O22" s="14"/>
      <c r="P22" s="14"/>
      <c r="Q22" s="9" t="s">
        <v>17</v>
      </c>
      <c r="R22" s="9" t="s">
        <v>123</v>
      </c>
      <c r="S22" s="9" t="s">
        <v>97</v>
      </c>
      <c r="T22" s="9" t="s">
        <v>150</v>
      </c>
      <c r="U22" s="9" t="s">
        <v>470</v>
      </c>
      <c r="V22" s="12">
        <v>46248.0</v>
      </c>
    </row>
    <row r="23">
      <c r="A23" s="9" t="s">
        <v>471</v>
      </c>
      <c r="B23" s="9" t="s">
        <v>72</v>
      </c>
      <c r="C23" s="9" t="s">
        <v>472</v>
      </c>
      <c r="D23" s="9" t="s">
        <v>75</v>
      </c>
      <c r="E23" s="9" t="s">
        <v>473</v>
      </c>
      <c r="F23" s="9" t="s">
        <v>474</v>
      </c>
      <c r="G23" s="9" t="s">
        <v>475</v>
      </c>
      <c r="H23" s="9" t="s">
        <v>476</v>
      </c>
      <c r="I23" s="9" t="s">
        <v>477</v>
      </c>
      <c r="J23" s="9" t="s">
        <v>128</v>
      </c>
      <c r="K23" s="14"/>
      <c r="L23" s="14"/>
      <c r="M23" s="9" t="s">
        <v>478</v>
      </c>
      <c r="N23" s="9" t="s">
        <v>479</v>
      </c>
      <c r="O23" s="14"/>
      <c r="P23" s="14"/>
      <c r="Q23" s="9" t="s">
        <v>17</v>
      </c>
      <c r="R23" s="9" t="s">
        <v>123</v>
      </c>
      <c r="S23" s="9" t="s">
        <v>97</v>
      </c>
      <c r="T23" s="9" t="s">
        <v>150</v>
      </c>
      <c r="U23" s="9" t="s">
        <v>480</v>
      </c>
      <c r="V23" s="12">
        <v>46248.0</v>
      </c>
    </row>
    <row r="24">
      <c r="A24" s="9" t="s">
        <v>245</v>
      </c>
      <c r="B24" s="9" t="s">
        <v>286</v>
      </c>
      <c r="C24" s="9" t="s">
        <v>481</v>
      </c>
      <c r="D24" s="9" t="s">
        <v>75</v>
      </c>
      <c r="E24" s="9" t="s">
        <v>482</v>
      </c>
      <c r="F24" s="9" t="s">
        <v>483</v>
      </c>
      <c r="G24" s="9" t="s">
        <v>484</v>
      </c>
      <c r="H24" s="9" t="s">
        <v>485</v>
      </c>
      <c r="I24" s="9" t="s">
        <v>486</v>
      </c>
      <c r="J24" s="9" t="s">
        <v>128</v>
      </c>
      <c r="K24" s="14"/>
      <c r="L24" s="14"/>
      <c r="M24" s="9" t="s">
        <v>487</v>
      </c>
      <c r="N24" s="9" t="s">
        <v>488</v>
      </c>
      <c r="O24" s="14"/>
      <c r="P24" s="14"/>
      <c r="Q24" s="9" t="s">
        <v>17</v>
      </c>
      <c r="R24" s="9" t="s">
        <v>123</v>
      </c>
      <c r="S24" s="9" t="s">
        <v>97</v>
      </c>
      <c r="T24" s="9" t="s">
        <v>150</v>
      </c>
      <c r="U24" s="9" t="s">
        <v>489</v>
      </c>
      <c r="V24" s="12">
        <v>46248.0</v>
      </c>
    </row>
    <row r="25">
      <c r="A25" s="9" t="s">
        <v>490</v>
      </c>
      <c r="B25" s="9" t="s">
        <v>238</v>
      </c>
      <c r="C25" s="9" t="s">
        <v>491</v>
      </c>
      <c r="D25" s="9" t="s">
        <v>75</v>
      </c>
      <c r="E25" s="9" t="s">
        <v>492</v>
      </c>
      <c r="F25" s="9" t="s">
        <v>493</v>
      </c>
      <c r="G25" s="9" t="s">
        <v>494</v>
      </c>
      <c r="H25" s="9" t="s">
        <v>495</v>
      </c>
      <c r="I25" s="9" t="s">
        <v>496</v>
      </c>
      <c r="J25" s="9" t="s">
        <v>128</v>
      </c>
      <c r="K25" s="14"/>
      <c r="L25" s="14"/>
      <c r="M25" s="9" t="s">
        <v>497</v>
      </c>
      <c r="N25" s="9" t="s">
        <v>498</v>
      </c>
      <c r="O25" s="14"/>
      <c r="P25" s="14"/>
      <c r="Q25" s="9" t="s">
        <v>17</v>
      </c>
      <c r="R25" s="9" t="s">
        <v>123</v>
      </c>
      <c r="S25" s="9" t="s">
        <v>97</v>
      </c>
      <c r="T25" s="9" t="s">
        <v>150</v>
      </c>
      <c r="U25" s="9" t="s">
        <v>499</v>
      </c>
      <c r="V25" s="12">
        <v>46248.0</v>
      </c>
    </row>
    <row r="26">
      <c r="A26" s="9" t="s">
        <v>500</v>
      </c>
      <c r="B26" s="9" t="s">
        <v>501</v>
      </c>
      <c r="C26" s="9" t="s">
        <v>502</v>
      </c>
      <c r="D26" s="9" t="s">
        <v>248</v>
      </c>
      <c r="E26" s="9" t="s">
        <v>503</v>
      </c>
      <c r="F26" s="9" t="s">
        <v>504</v>
      </c>
      <c r="G26" s="9" t="s">
        <v>505</v>
      </c>
      <c r="H26" s="9" t="s">
        <v>506</v>
      </c>
      <c r="I26" s="9" t="s">
        <v>507</v>
      </c>
      <c r="J26" s="9" t="s">
        <v>128</v>
      </c>
      <c r="K26" s="14"/>
      <c r="L26" s="14"/>
      <c r="M26" s="9" t="s">
        <v>508</v>
      </c>
      <c r="N26" s="9" t="s">
        <v>509</v>
      </c>
      <c r="O26" s="14"/>
      <c r="P26" s="14"/>
      <c r="Q26" s="9" t="s">
        <v>17</v>
      </c>
      <c r="R26" s="9" t="s">
        <v>123</v>
      </c>
      <c r="S26" s="9" t="s">
        <v>97</v>
      </c>
      <c r="T26" s="9" t="s">
        <v>150</v>
      </c>
      <c r="U26" s="9" t="s">
        <v>510</v>
      </c>
      <c r="V26" s="12">
        <v>46248.0</v>
      </c>
    </row>
    <row r="27">
      <c r="A27" s="9" t="s">
        <v>511</v>
      </c>
      <c r="B27" s="9" t="s">
        <v>512</v>
      </c>
      <c r="C27" s="9" t="s">
        <v>513</v>
      </c>
      <c r="D27" s="9" t="s">
        <v>248</v>
      </c>
      <c r="E27" s="9" t="s">
        <v>514</v>
      </c>
      <c r="F27" s="9" t="s">
        <v>515</v>
      </c>
      <c r="G27" s="9" t="s">
        <v>516</v>
      </c>
      <c r="H27" s="9" t="s">
        <v>517</v>
      </c>
      <c r="I27" s="9" t="s">
        <v>518</v>
      </c>
      <c r="J27" s="9" t="s">
        <v>128</v>
      </c>
      <c r="K27" s="14"/>
      <c r="L27" s="14"/>
      <c r="M27" s="9" t="s">
        <v>519</v>
      </c>
      <c r="N27" s="9" t="s">
        <v>520</v>
      </c>
      <c r="O27" s="14"/>
      <c r="P27" s="14"/>
      <c r="Q27" s="9" t="s">
        <v>17</v>
      </c>
      <c r="R27" s="9" t="s">
        <v>123</v>
      </c>
      <c r="S27" s="9" t="s">
        <v>97</v>
      </c>
      <c r="T27" s="9" t="s">
        <v>150</v>
      </c>
      <c r="U27" s="9" t="s">
        <v>521</v>
      </c>
      <c r="V27" s="12">
        <v>46248.0</v>
      </c>
    </row>
    <row r="28">
      <c r="A28" s="9" t="s">
        <v>522</v>
      </c>
      <c r="B28" s="9" t="s">
        <v>523</v>
      </c>
      <c r="C28" s="9" t="s">
        <v>524</v>
      </c>
      <c r="D28" s="9" t="s">
        <v>248</v>
      </c>
      <c r="E28" s="9" t="s">
        <v>525</v>
      </c>
      <c r="F28" s="9" t="s">
        <v>526</v>
      </c>
      <c r="G28" s="9" t="s">
        <v>527</v>
      </c>
      <c r="H28" s="9" t="s">
        <v>528</v>
      </c>
      <c r="I28" s="9" t="s">
        <v>529</v>
      </c>
      <c r="J28" s="9" t="s">
        <v>128</v>
      </c>
      <c r="K28" s="14"/>
      <c r="L28" s="14"/>
      <c r="M28" s="9" t="s">
        <v>530</v>
      </c>
      <c r="N28" s="9" t="s">
        <v>531</v>
      </c>
      <c r="O28" s="14"/>
      <c r="P28" s="14"/>
      <c r="Q28" s="9" t="s">
        <v>17</v>
      </c>
      <c r="R28" s="9" t="s">
        <v>123</v>
      </c>
      <c r="S28" s="9" t="s">
        <v>97</v>
      </c>
      <c r="T28" s="9" t="s">
        <v>150</v>
      </c>
      <c r="U28" s="9" t="s">
        <v>532</v>
      </c>
      <c r="V28" s="12">
        <v>46248.0</v>
      </c>
    </row>
    <row r="29">
      <c r="A29" s="9" t="s">
        <v>533</v>
      </c>
      <c r="B29" s="9" t="s">
        <v>534</v>
      </c>
      <c r="C29" s="9" t="s">
        <v>535</v>
      </c>
      <c r="D29" s="9" t="s">
        <v>248</v>
      </c>
      <c r="E29" s="9" t="s">
        <v>536</v>
      </c>
      <c r="F29" s="9" t="s">
        <v>537</v>
      </c>
      <c r="G29" s="9" t="s">
        <v>538</v>
      </c>
      <c r="H29" s="9" t="s">
        <v>539</v>
      </c>
      <c r="I29" s="9" t="s">
        <v>540</v>
      </c>
      <c r="J29" s="9" t="s">
        <v>128</v>
      </c>
      <c r="K29" s="14"/>
      <c r="L29" s="14"/>
      <c r="M29" s="9" t="s">
        <v>541</v>
      </c>
      <c r="N29" s="9" t="s">
        <v>542</v>
      </c>
      <c r="O29" s="14"/>
      <c r="P29" s="14"/>
      <c r="Q29" s="9" t="s">
        <v>17</v>
      </c>
      <c r="R29" s="9" t="s">
        <v>123</v>
      </c>
      <c r="S29" s="9" t="s">
        <v>97</v>
      </c>
      <c r="T29" s="9" t="s">
        <v>150</v>
      </c>
      <c r="U29" s="9" t="s">
        <v>543</v>
      </c>
      <c r="V29" s="12">
        <v>46248.0</v>
      </c>
    </row>
    <row r="30">
      <c r="A30" s="9" t="s">
        <v>544</v>
      </c>
      <c r="B30" s="9" t="s">
        <v>545</v>
      </c>
      <c r="C30" s="9" t="s">
        <v>546</v>
      </c>
      <c r="D30" s="9" t="s">
        <v>75</v>
      </c>
      <c r="E30" s="9" t="s">
        <v>547</v>
      </c>
      <c r="F30" s="9" t="s">
        <v>548</v>
      </c>
      <c r="G30" s="9" t="s">
        <v>549</v>
      </c>
      <c r="H30" s="9" t="s">
        <v>550</v>
      </c>
      <c r="I30" s="9" t="s">
        <v>551</v>
      </c>
      <c r="J30" s="9" t="s">
        <v>128</v>
      </c>
      <c r="K30" s="14"/>
      <c r="L30" s="14"/>
      <c r="M30" s="9" t="s">
        <v>552</v>
      </c>
      <c r="N30" s="9" t="s">
        <v>553</v>
      </c>
      <c r="O30" s="14"/>
      <c r="P30" s="14"/>
      <c r="Q30" s="9" t="s">
        <v>17</v>
      </c>
      <c r="R30" s="9" t="s">
        <v>123</v>
      </c>
      <c r="S30" s="9" t="s">
        <v>97</v>
      </c>
      <c r="T30" s="9" t="s">
        <v>150</v>
      </c>
      <c r="U30" s="9" t="s">
        <v>554</v>
      </c>
      <c r="V30" s="12">
        <v>46248.0</v>
      </c>
    </row>
    <row r="31">
      <c r="A31" s="9" t="s">
        <v>555</v>
      </c>
      <c r="B31" s="9" t="s">
        <v>556</v>
      </c>
      <c r="C31" s="9" t="s">
        <v>557</v>
      </c>
      <c r="D31" s="9" t="s">
        <v>248</v>
      </c>
      <c r="E31" s="9" t="s">
        <v>558</v>
      </c>
      <c r="F31" s="9" t="s">
        <v>559</v>
      </c>
      <c r="G31" s="9" t="s">
        <v>560</v>
      </c>
      <c r="H31" s="9" t="s">
        <v>561</v>
      </c>
      <c r="I31" s="9" t="s">
        <v>562</v>
      </c>
      <c r="J31" s="9" t="s">
        <v>128</v>
      </c>
      <c r="K31" s="14"/>
      <c r="L31" s="14"/>
      <c r="M31" s="9" t="s">
        <v>563</v>
      </c>
      <c r="N31" s="9" t="s">
        <v>564</v>
      </c>
      <c r="O31" s="14"/>
      <c r="P31" s="14"/>
      <c r="Q31" s="9" t="s">
        <v>17</v>
      </c>
      <c r="R31" s="9" t="s">
        <v>123</v>
      </c>
      <c r="S31" s="9" t="s">
        <v>97</v>
      </c>
      <c r="T31" s="9" t="s">
        <v>150</v>
      </c>
      <c r="U31" s="9" t="s">
        <v>565</v>
      </c>
      <c r="V31" s="12">
        <v>46248.0</v>
      </c>
    </row>
    <row r="32">
      <c r="A32" s="9" t="s">
        <v>566</v>
      </c>
      <c r="B32" s="9" t="s">
        <v>567</v>
      </c>
      <c r="C32" s="9" t="s">
        <v>568</v>
      </c>
      <c r="D32" s="9" t="s">
        <v>75</v>
      </c>
      <c r="E32" s="9" t="s">
        <v>569</v>
      </c>
      <c r="F32" s="9" t="s">
        <v>570</v>
      </c>
      <c r="G32" s="9" t="s">
        <v>571</v>
      </c>
      <c r="H32" s="9" t="s">
        <v>572</v>
      </c>
      <c r="I32" s="9" t="s">
        <v>573</v>
      </c>
      <c r="J32" s="9" t="s">
        <v>140</v>
      </c>
      <c r="K32" s="14"/>
      <c r="L32" s="14"/>
      <c r="M32" s="9" t="s">
        <v>574</v>
      </c>
      <c r="N32" s="9" t="s">
        <v>575</v>
      </c>
      <c r="O32" s="14"/>
      <c r="P32" s="14"/>
      <c r="Q32" s="9" t="s">
        <v>17</v>
      </c>
      <c r="R32" s="9" t="s">
        <v>123</v>
      </c>
      <c r="S32" s="9" t="s">
        <v>97</v>
      </c>
      <c r="T32" s="9" t="s">
        <v>150</v>
      </c>
      <c r="U32" s="9" t="s">
        <v>576</v>
      </c>
      <c r="V32" s="12">
        <v>46248.0</v>
      </c>
    </row>
    <row r="33">
      <c r="A33" s="9" t="s">
        <v>577</v>
      </c>
      <c r="B33" s="9" t="s">
        <v>578</v>
      </c>
      <c r="C33" s="9" t="s">
        <v>579</v>
      </c>
      <c r="D33" s="9" t="s">
        <v>248</v>
      </c>
      <c r="E33" s="9" t="s">
        <v>580</v>
      </c>
      <c r="F33" s="9" t="s">
        <v>581</v>
      </c>
      <c r="G33" s="9" t="s">
        <v>582</v>
      </c>
      <c r="H33" s="9" t="s">
        <v>583</v>
      </c>
      <c r="I33" s="9" t="s">
        <v>584</v>
      </c>
      <c r="J33" s="9" t="s">
        <v>140</v>
      </c>
      <c r="K33" s="14"/>
      <c r="L33" s="14"/>
      <c r="M33" s="9" t="s">
        <v>585</v>
      </c>
      <c r="N33" s="9" t="s">
        <v>586</v>
      </c>
      <c r="O33" s="14"/>
      <c r="P33" s="14"/>
      <c r="Q33" s="9" t="s">
        <v>17</v>
      </c>
      <c r="R33" s="9" t="s">
        <v>123</v>
      </c>
      <c r="S33" s="9" t="s">
        <v>97</v>
      </c>
      <c r="T33" s="9" t="s">
        <v>150</v>
      </c>
      <c r="U33" s="9" t="s">
        <v>587</v>
      </c>
      <c r="V33" s="12">
        <v>46248.0</v>
      </c>
    </row>
    <row r="34">
      <c r="J34" s="11"/>
      <c r="Q34" s="11"/>
      <c r="R34" s="11"/>
      <c r="S34" s="11"/>
      <c r="T34" s="11"/>
    </row>
    <row r="35">
      <c r="J35" s="11"/>
      <c r="Q35" s="11"/>
      <c r="R35" s="11"/>
      <c r="S35" s="11"/>
      <c r="T35" s="11"/>
    </row>
    <row r="36">
      <c r="J36" s="11"/>
      <c r="Q36" s="11"/>
      <c r="R36" s="11"/>
      <c r="S36" s="11"/>
      <c r="T36" s="11"/>
    </row>
    <row r="37">
      <c r="J37" s="11"/>
      <c r="Q37" s="11"/>
      <c r="R37" s="11"/>
      <c r="S37" s="11"/>
      <c r="T37" s="11"/>
    </row>
    <row r="38">
      <c r="J38" s="11"/>
      <c r="Q38" s="11"/>
      <c r="R38" s="11"/>
      <c r="S38" s="11"/>
      <c r="T38" s="11"/>
    </row>
    <row r="39">
      <c r="J39" s="11"/>
      <c r="Q39" s="11"/>
      <c r="R39" s="11"/>
      <c r="S39" s="11"/>
      <c r="T39" s="11"/>
    </row>
    <row r="40">
      <c r="J40" s="11"/>
      <c r="Q40" s="11"/>
      <c r="R40" s="11"/>
      <c r="S40" s="11"/>
      <c r="T40" s="11"/>
    </row>
    <row r="41">
      <c r="J41" s="11"/>
      <c r="Q41" s="11"/>
      <c r="R41" s="11"/>
      <c r="S41" s="11"/>
      <c r="T41" s="11"/>
    </row>
    <row r="42">
      <c r="J42" s="11"/>
      <c r="Q42" s="11"/>
      <c r="R42" s="11"/>
      <c r="S42" s="11"/>
      <c r="T42" s="11"/>
    </row>
    <row r="43">
      <c r="J43" s="11"/>
      <c r="Q43" s="11"/>
      <c r="R43" s="11"/>
      <c r="S43" s="11"/>
      <c r="T43" s="11"/>
    </row>
    <row r="44">
      <c r="J44" s="11"/>
      <c r="Q44" s="11"/>
      <c r="R44" s="11"/>
      <c r="S44" s="11"/>
      <c r="T44" s="11"/>
    </row>
    <row r="45">
      <c r="J45" s="11"/>
      <c r="Q45" s="11"/>
      <c r="R45" s="11"/>
      <c r="S45" s="11"/>
      <c r="T45" s="11"/>
    </row>
    <row r="46">
      <c r="J46" s="11"/>
      <c r="Q46" s="11"/>
      <c r="R46" s="11"/>
      <c r="S46" s="11"/>
      <c r="T46" s="11"/>
    </row>
    <row r="47">
      <c r="J47" s="11"/>
      <c r="Q47" s="11"/>
      <c r="R47" s="11"/>
      <c r="S47" s="11"/>
      <c r="T47" s="11"/>
    </row>
    <row r="48">
      <c r="J48" s="11"/>
      <c r="Q48" s="11"/>
      <c r="R48" s="11"/>
      <c r="S48" s="11"/>
      <c r="T48" s="11"/>
    </row>
    <row r="49">
      <c r="J49" s="11"/>
      <c r="Q49" s="11"/>
      <c r="R49" s="11"/>
      <c r="S49" s="11"/>
      <c r="T49" s="11"/>
    </row>
    <row r="50">
      <c r="J50" s="11"/>
      <c r="Q50" s="11"/>
      <c r="R50" s="11"/>
      <c r="S50" s="11"/>
      <c r="T50" s="11"/>
    </row>
    <row r="51">
      <c r="J51" s="11"/>
      <c r="Q51" s="11"/>
      <c r="R51" s="11"/>
      <c r="S51" s="11"/>
      <c r="T51" s="11"/>
    </row>
    <row r="52">
      <c r="J52" s="11"/>
      <c r="Q52" s="11"/>
      <c r="R52" s="11"/>
      <c r="S52" s="11"/>
      <c r="T52" s="11"/>
    </row>
    <row r="53">
      <c r="J53" s="11"/>
      <c r="Q53" s="11"/>
      <c r="R53" s="11"/>
      <c r="S53" s="11"/>
      <c r="T53" s="11"/>
    </row>
    <row r="54">
      <c r="J54" s="11"/>
      <c r="Q54" s="11"/>
      <c r="R54" s="11"/>
      <c r="S54" s="11"/>
      <c r="T54" s="11"/>
    </row>
    <row r="55">
      <c r="J55" s="11"/>
      <c r="Q55" s="11"/>
      <c r="R55" s="11"/>
      <c r="S55" s="11"/>
      <c r="T55" s="11"/>
    </row>
    <row r="56">
      <c r="J56" s="11"/>
      <c r="Q56" s="11"/>
      <c r="R56" s="11"/>
      <c r="S56" s="11"/>
      <c r="T56" s="11"/>
    </row>
    <row r="57">
      <c r="J57" s="11"/>
      <c r="Q57" s="11"/>
      <c r="R57" s="11"/>
      <c r="S57" s="11"/>
      <c r="T57" s="11"/>
    </row>
    <row r="58">
      <c r="J58" s="11"/>
      <c r="Q58" s="11"/>
      <c r="R58" s="11"/>
      <c r="S58" s="11"/>
      <c r="T58" s="11"/>
    </row>
    <row r="59">
      <c r="J59" s="11"/>
      <c r="Q59" s="11"/>
      <c r="R59" s="11"/>
      <c r="S59" s="11"/>
      <c r="T59" s="11"/>
    </row>
    <row r="60">
      <c r="J60" s="11"/>
      <c r="Q60" s="11"/>
      <c r="R60" s="11"/>
      <c r="S60" s="11"/>
      <c r="T60" s="11"/>
    </row>
    <row r="61">
      <c r="J61" s="11"/>
      <c r="Q61" s="11"/>
      <c r="R61" s="11"/>
      <c r="S61" s="11"/>
      <c r="T61" s="11"/>
    </row>
    <row r="62">
      <c r="J62" s="11"/>
      <c r="Q62" s="11"/>
      <c r="R62" s="11"/>
      <c r="S62" s="11"/>
      <c r="T62" s="11"/>
    </row>
    <row r="63">
      <c r="J63" s="11"/>
      <c r="Q63" s="11"/>
      <c r="R63" s="11"/>
      <c r="S63" s="11"/>
      <c r="T63" s="11"/>
    </row>
    <row r="64">
      <c r="J64" s="11"/>
      <c r="Q64" s="11"/>
      <c r="R64" s="11"/>
      <c r="S64" s="11"/>
      <c r="T64" s="11"/>
    </row>
    <row r="65">
      <c r="J65" s="11"/>
      <c r="Q65" s="11"/>
      <c r="R65" s="11"/>
      <c r="S65" s="11"/>
      <c r="T65" s="11"/>
    </row>
    <row r="66">
      <c r="J66" s="11"/>
      <c r="Q66" s="11"/>
      <c r="R66" s="11"/>
      <c r="S66" s="11"/>
      <c r="T66" s="11"/>
    </row>
    <row r="67">
      <c r="J67" s="11"/>
      <c r="Q67" s="11"/>
      <c r="R67" s="11"/>
      <c r="S67" s="11"/>
      <c r="T67" s="11"/>
    </row>
    <row r="68">
      <c r="J68" s="11"/>
      <c r="Q68" s="11"/>
      <c r="R68" s="11"/>
      <c r="S68" s="11"/>
      <c r="T68" s="11"/>
    </row>
    <row r="69">
      <c r="J69" s="11"/>
      <c r="Q69" s="11"/>
      <c r="R69" s="11"/>
      <c r="S69" s="11"/>
      <c r="T69" s="11"/>
    </row>
    <row r="70">
      <c r="J70" s="11"/>
      <c r="Q70" s="11"/>
      <c r="R70" s="11"/>
      <c r="S70" s="11"/>
      <c r="T70" s="11"/>
    </row>
    <row r="71">
      <c r="J71" s="11"/>
      <c r="Q71" s="11"/>
      <c r="R71" s="11"/>
      <c r="S71" s="11"/>
      <c r="T71" s="11"/>
    </row>
    <row r="72">
      <c r="J72" s="11"/>
      <c r="Q72" s="11"/>
      <c r="R72" s="11"/>
      <c r="S72" s="11"/>
      <c r="T72" s="11"/>
    </row>
    <row r="73">
      <c r="J73" s="11"/>
      <c r="Q73" s="11"/>
      <c r="R73" s="11"/>
      <c r="S73" s="11"/>
      <c r="T73" s="11"/>
    </row>
    <row r="74">
      <c r="J74" s="11"/>
      <c r="Q74" s="11"/>
      <c r="R74" s="11"/>
      <c r="S74" s="11"/>
      <c r="T74" s="11"/>
    </row>
    <row r="75">
      <c r="J75" s="11"/>
      <c r="Q75" s="11"/>
      <c r="R75" s="11"/>
      <c r="S75" s="11"/>
      <c r="T75" s="11"/>
    </row>
    <row r="76">
      <c r="J76" s="11"/>
      <c r="Q76" s="11"/>
      <c r="R76" s="11"/>
      <c r="S76" s="11"/>
      <c r="T76" s="11"/>
    </row>
    <row r="77">
      <c r="J77" s="11"/>
      <c r="Q77" s="11"/>
      <c r="R77" s="11"/>
      <c r="S77" s="11"/>
      <c r="T77" s="11"/>
    </row>
    <row r="78">
      <c r="J78" s="11"/>
      <c r="Q78" s="11"/>
      <c r="R78" s="11"/>
      <c r="S78" s="11"/>
      <c r="T78" s="11"/>
    </row>
    <row r="79">
      <c r="J79" s="11"/>
      <c r="Q79" s="11"/>
      <c r="R79" s="11"/>
      <c r="S79" s="11"/>
      <c r="T79" s="11"/>
    </row>
    <row r="80">
      <c r="J80" s="11"/>
      <c r="Q80" s="11"/>
      <c r="R80" s="11"/>
      <c r="S80" s="11"/>
      <c r="T80" s="11"/>
    </row>
    <row r="81">
      <c r="J81" s="11"/>
      <c r="Q81" s="11"/>
      <c r="R81" s="11"/>
      <c r="S81" s="11"/>
      <c r="T81" s="11"/>
    </row>
    <row r="82">
      <c r="J82" s="11"/>
      <c r="Q82" s="11"/>
      <c r="R82" s="11"/>
      <c r="S82" s="11"/>
      <c r="T82" s="11"/>
    </row>
    <row r="83">
      <c r="J83" s="11"/>
      <c r="Q83" s="11"/>
      <c r="R83" s="11"/>
      <c r="S83" s="11"/>
      <c r="T83" s="11"/>
    </row>
    <row r="84">
      <c r="J84" s="11"/>
      <c r="Q84" s="11"/>
      <c r="R84" s="11"/>
      <c r="S84" s="11"/>
      <c r="T84" s="11"/>
    </row>
    <row r="85">
      <c r="J85" s="11"/>
      <c r="Q85" s="11"/>
      <c r="R85" s="11"/>
      <c r="S85" s="11"/>
      <c r="T85" s="11"/>
    </row>
    <row r="86">
      <c r="J86" s="11"/>
      <c r="Q86" s="11"/>
      <c r="R86" s="11"/>
      <c r="S86" s="11"/>
      <c r="T86" s="11"/>
    </row>
    <row r="87">
      <c r="J87" s="11"/>
      <c r="Q87" s="11"/>
      <c r="R87" s="11"/>
      <c r="S87" s="11"/>
      <c r="T87" s="11"/>
    </row>
    <row r="88">
      <c r="J88" s="11"/>
      <c r="Q88" s="11"/>
      <c r="R88" s="11"/>
      <c r="S88" s="11"/>
      <c r="T88" s="11"/>
    </row>
    <row r="89">
      <c r="J89" s="11"/>
      <c r="Q89" s="11"/>
      <c r="R89" s="11"/>
      <c r="S89" s="11"/>
      <c r="T89" s="11"/>
    </row>
    <row r="90">
      <c r="J90" s="11"/>
      <c r="Q90" s="11"/>
      <c r="R90" s="11"/>
      <c r="S90" s="11"/>
      <c r="T90" s="11"/>
    </row>
    <row r="91">
      <c r="J91" s="11"/>
      <c r="Q91" s="11"/>
      <c r="R91" s="11"/>
      <c r="S91" s="11"/>
      <c r="T91" s="11"/>
    </row>
    <row r="92">
      <c r="J92" s="11"/>
      <c r="Q92" s="11"/>
      <c r="R92" s="11"/>
      <c r="S92" s="11"/>
      <c r="T92" s="11"/>
    </row>
    <row r="93">
      <c r="J93" s="11"/>
      <c r="Q93" s="11"/>
      <c r="R93" s="11"/>
      <c r="S93" s="11"/>
      <c r="T93" s="11"/>
    </row>
    <row r="94">
      <c r="J94" s="11"/>
      <c r="Q94" s="11"/>
      <c r="R94" s="11"/>
      <c r="S94" s="11"/>
      <c r="T94" s="11"/>
    </row>
    <row r="95">
      <c r="J95" s="11"/>
      <c r="Q95" s="11"/>
      <c r="R95" s="11"/>
      <c r="S95" s="11"/>
      <c r="T95" s="11"/>
    </row>
    <row r="96">
      <c r="J96" s="11"/>
      <c r="Q96" s="11"/>
      <c r="R96" s="11"/>
      <c r="S96" s="11"/>
      <c r="T96" s="11"/>
    </row>
    <row r="97">
      <c r="J97" s="11"/>
      <c r="Q97" s="11"/>
      <c r="R97" s="11"/>
      <c r="S97" s="11"/>
      <c r="T97" s="11"/>
    </row>
    <row r="98">
      <c r="J98" s="11"/>
      <c r="Q98" s="11"/>
      <c r="R98" s="11"/>
      <c r="S98" s="11"/>
      <c r="T98" s="11"/>
    </row>
    <row r="99">
      <c r="J99" s="11"/>
      <c r="Q99" s="11"/>
      <c r="R99" s="11"/>
      <c r="S99" s="11"/>
      <c r="T99" s="11"/>
    </row>
    <row r="100">
      <c r="J100" s="11"/>
      <c r="Q100" s="11"/>
      <c r="R100" s="11"/>
      <c r="S100" s="11"/>
      <c r="T100" s="11"/>
    </row>
    <row r="101">
      <c r="J101" s="11"/>
      <c r="Q101" s="11"/>
      <c r="R101" s="11"/>
      <c r="S101" s="11"/>
      <c r="T101" s="11"/>
    </row>
    <row r="102">
      <c r="J102" s="11"/>
      <c r="Q102" s="11"/>
      <c r="R102" s="11"/>
      <c r="S102" s="11"/>
      <c r="T102" s="11"/>
    </row>
    <row r="103">
      <c r="J103" s="11"/>
      <c r="Q103" s="11"/>
      <c r="R103" s="11"/>
      <c r="S103" s="11"/>
      <c r="T103" s="11"/>
    </row>
    <row r="104">
      <c r="J104" s="11"/>
      <c r="Q104" s="11"/>
      <c r="R104" s="11"/>
      <c r="S104" s="11"/>
      <c r="T104" s="11"/>
    </row>
    <row r="105">
      <c r="J105" s="11"/>
      <c r="Q105" s="11"/>
      <c r="R105" s="11"/>
      <c r="S105" s="11"/>
      <c r="T105" s="11"/>
    </row>
    <row r="106">
      <c r="J106" s="11"/>
      <c r="Q106" s="11"/>
      <c r="R106" s="11"/>
      <c r="S106" s="11"/>
      <c r="T106" s="11"/>
    </row>
    <row r="107">
      <c r="J107" s="11"/>
      <c r="Q107" s="11"/>
      <c r="R107" s="11"/>
      <c r="S107" s="11"/>
      <c r="T107" s="11"/>
    </row>
    <row r="108">
      <c r="J108" s="11"/>
      <c r="Q108" s="11"/>
      <c r="R108" s="11"/>
      <c r="S108" s="11"/>
      <c r="T108" s="11"/>
    </row>
    <row r="109">
      <c r="J109" s="11"/>
      <c r="Q109" s="11"/>
      <c r="R109" s="11"/>
      <c r="S109" s="11"/>
      <c r="T109" s="11"/>
    </row>
    <row r="110">
      <c r="J110" s="11"/>
      <c r="Q110" s="11"/>
      <c r="R110" s="11"/>
      <c r="S110" s="11"/>
      <c r="T110" s="11"/>
    </row>
    <row r="111">
      <c r="J111" s="11"/>
      <c r="Q111" s="11"/>
      <c r="R111" s="11"/>
      <c r="S111" s="11"/>
      <c r="T111" s="11"/>
    </row>
    <row r="112">
      <c r="J112" s="11"/>
      <c r="Q112" s="11"/>
      <c r="R112" s="11"/>
      <c r="S112" s="11"/>
      <c r="T112" s="11"/>
    </row>
    <row r="113">
      <c r="J113" s="11"/>
      <c r="Q113" s="11"/>
      <c r="R113" s="11"/>
      <c r="S113" s="11"/>
      <c r="T113" s="11"/>
    </row>
    <row r="114">
      <c r="J114" s="11"/>
      <c r="Q114" s="11"/>
      <c r="R114" s="11"/>
      <c r="S114" s="11"/>
      <c r="T114" s="11"/>
    </row>
    <row r="115">
      <c r="J115" s="11"/>
      <c r="Q115" s="11"/>
      <c r="R115" s="11"/>
      <c r="S115" s="11"/>
      <c r="T115" s="11"/>
    </row>
    <row r="116">
      <c r="J116" s="11"/>
      <c r="Q116" s="11"/>
      <c r="R116" s="11"/>
      <c r="S116" s="11"/>
      <c r="T116" s="11"/>
    </row>
    <row r="117">
      <c r="J117" s="11"/>
      <c r="Q117" s="11"/>
      <c r="R117" s="11"/>
      <c r="S117" s="11"/>
      <c r="T117" s="11"/>
    </row>
    <row r="118">
      <c r="J118" s="11"/>
      <c r="Q118" s="11"/>
      <c r="R118" s="11"/>
      <c r="S118" s="11"/>
      <c r="T118" s="11"/>
    </row>
    <row r="119">
      <c r="J119" s="11"/>
      <c r="Q119" s="11"/>
      <c r="R119" s="11"/>
      <c r="S119" s="11"/>
      <c r="T119" s="11"/>
    </row>
    <row r="120">
      <c r="J120" s="11"/>
      <c r="Q120" s="11"/>
      <c r="R120" s="11"/>
      <c r="S120" s="11"/>
      <c r="T120" s="11"/>
    </row>
    <row r="121">
      <c r="J121" s="11"/>
      <c r="Q121" s="11"/>
      <c r="R121" s="11"/>
      <c r="S121" s="11"/>
      <c r="T121" s="11"/>
    </row>
    <row r="122">
      <c r="J122" s="11"/>
      <c r="Q122" s="11"/>
      <c r="R122" s="11"/>
      <c r="S122" s="11"/>
      <c r="T122" s="11"/>
    </row>
    <row r="123">
      <c r="J123" s="11"/>
      <c r="Q123" s="11"/>
      <c r="R123" s="11"/>
      <c r="S123" s="11"/>
      <c r="T123" s="11"/>
    </row>
    <row r="124">
      <c r="J124" s="11"/>
      <c r="Q124" s="11"/>
      <c r="R124" s="11"/>
      <c r="S124" s="11"/>
      <c r="T124" s="11"/>
    </row>
    <row r="125">
      <c r="J125" s="11"/>
      <c r="Q125" s="11"/>
      <c r="R125" s="11"/>
      <c r="S125" s="11"/>
      <c r="T125" s="11"/>
    </row>
    <row r="126">
      <c r="J126" s="11"/>
      <c r="Q126" s="11"/>
      <c r="R126" s="11"/>
      <c r="S126" s="11"/>
      <c r="T126" s="11"/>
    </row>
    <row r="127">
      <c r="J127" s="11"/>
      <c r="Q127" s="11"/>
      <c r="R127" s="11"/>
      <c r="S127" s="11"/>
      <c r="T127" s="11"/>
    </row>
    <row r="128">
      <c r="J128" s="11"/>
      <c r="Q128" s="11"/>
      <c r="R128" s="11"/>
      <c r="S128" s="11"/>
      <c r="T128" s="11"/>
    </row>
    <row r="129">
      <c r="J129" s="11"/>
      <c r="Q129" s="11"/>
      <c r="R129" s="11"/>
      <c r="S129" s="11"/>
      <c r="T129" s="11"/>
    </row>
    <row r="130">
      <c r="J130" s="11"/>
      <c r="Q130" s="11"/>
      <c r="R130" s="11"/>
      <c r="S130" s="11"/>
      <c r="T130" s="11"/>
    </row>
    <row r="131">
      <c r="J131" s="11"/>
      <c r="Q131" s="11"/>
      <c r="R131" s="11"/>
      <c r="S131" s="11"/>
      <c r="T131" s="11"/>
    </row>
    <row r="132">
      <c r="J132" s="11"/>
      <c r="Q132" s="11"/>
      <c r="R132" s="11"/>
      <c r="S132" s="11"/>
      <c r="T132" s="11"/>
    </row>
    <row r="133">
      <c r="J133" s="11"/>
      <c r="Q133" s="11"/>
      <c r="R133" s="11"/>
      <c r="S133" s="11"/>
      <c r="T133" s="11"/>
    </row>
    <row r="134">
      <c r="J134" s="11"/>
      <c r="Q134" s="11"/>
      <c r="R134" s="11"/>
      <c r="S134" s="11"/>
      <c r="T134" s="11"/>
    </row>
    <row r="135">
      <c r="J135" s="11"/>
      <c r="Q135" s="11"/>
      <c r="R135" s="11"/>
      <c r="S135" s="11"/>
      <c r="T135" s="11"/>
    </row>
    <row r="136">
      <c r="J136" s="11"/>
      <c r="Q136" s="11"/>
      <c r="R136" s="11"/>
      <c r="S136" s="11"/>
      <c r="T136" s="11"/>
    </row>
    <row r="137">
      <c r="J137" s="11"/>
      <c r="Q137" s="11"/>
      <c r="R137" s="11"/>
      <c r="S137" s="11"/>
      <c r="T137" s="11"/>
    </row>
    <row r="138">
      <c r="J138" s="11"/>
      <c r="Q138" s="11"/>
      <c r="R138" s="11"/>
      <c r="S138" s="11"/>
      <c r="T138" s="11"/>
    </row>
    <row r="139">
      <c r="J139" s="11"/>
      <c r="Q139" s="11"/>
      <c r="R139" s="11"/>
      <c r="S139" s="11"/>
      <c r="T139" s="11"/>
    </row>
    <row r="140">
      <c r="J140" s="11"/>
      <c r="Q140" s="11"/>
      <c r="R140" s="11"/>
      <c r="S140" s="11"/>
      <c r="T140" s="11"/>
    </row>
    <row r="141">
      <c r="J141" s="11"/>
      <c r="Q141" s="11"/>
      <c r="R141" s="11"/>
      <c r="S141" s="11"/>
      <c r="T141" s="11"/>
    </row>
    <row r="142">
      <c r="J142" s="11"/>
      <c r="Q142" s="11"/>
      <c r="R142" s="11"/>
      <c r="S142" s="11"/>
      <c r="T142" s="11"/>
    </row>
    <row r="143">
      <c r="J143" s="11"/>
      <c r="Q143" s="11"/>
      <c r="R143" s="11"/>
      <c r="S143" s="11"/>
      <c r="T143" s="11"/>
    </row>
    <row r="144">
      <c r="J144" s="11"/>
      <c r="Q144" s="11"/>
      <c r="R144" s="11"/>
      <c r="S144" s="11"/>
      <c r="T144" s="11"/>
    </row>
    <row r="145">
      <c r="J145" s="11"/>
      <c r="Q145" s="11"/>
      <c r="R145" s="11"/>
      <c r="S145" s="11"/>
      <c r="T145" s="11"/>
    </row>
    <row r="146">
      <c r="J146" s="11"/>
      <c r="Q146" s="11"/>
      <c r="R146" s="11"/>
      <c r="S146" s="11"/>
      <c r="T146" s="11"/>
    </row>
    <row r="147">
      <c r="J147" s="11"/>
      <c r="Q147" s="11"/>
      <c r="R147" s="11"/>
      <c r="S147" s="11"/>
      <c r="T147" s="11"/>
    </row>
    <row r="148">
      <c r="J148" s="11"/>
      <c r="Q148" s="11"/>
      <c r="R148" s="11"/>
      <c r="S148" s="11"/>
      <c r="T148" s="11"/>
    </row>
    <row r="149">
      <c r="J149" s="11"/>
      <c r="Q149" s="11"/>
      <c r="R149" s="11"/>
      <c r="S149" s="11"/>
      <c r="T149" s="11"/>
    </row>
    <row r="150">
      <c r="J150" s="11"/>
      <c r="Q150" s="11"/>
      <c r="R150" s="11"/>
      <c r="S150" s="11"/>
      <c r="T150" s="11"/>
    </row>
    <row r="151">
      <c r="J151" s="11"/>
      <c r="Q151" s="11"/>
      <c r="R151" s="11"/>
      <c r="S151" s="11"/>
      <c r="T151" s="11"/>
    </row>
    <row r="152">
      <c r="J152" s="11"/>
      <c r="Q152" s="11"/>
      <c r="R152" s="11"/>
      <c r="S152" s="11"/>
      <c r="T152" s="11"/>
    </row>
    <row r="153">
      <c r="J153" s="11"/>
      <c r="Q153" s="11"/>
      <c r="R153" s="11"/>
      <c r="S153" s="11"/>
      <c r="T153" s="11"/>
    </row>
    <row r="154">
      <c r="J154" s="11"/>
      <c r="Q154" s="11"/>
      <c r="R154" s="11"/>
      <c r="S154" s="11"/>
      <c r="T154" s="11"/>
    </row>
    <row r="155">
      <c r="J155" s="11"/>
      <c r="Q155" s="11"/>
      <c r="R155" s="11"/>
      <c r="S155" s="11"/>
      <c r="T155" s="11"/>
    </row>
    <row r="156">
      <c r="J156" s="11"/>
      <c r="Q156" s="11"/>
      <c r="R156" s="11"/>
      <c r="S156" s="11"/>
      <c r="T156" s="11"/>
    </row>
    <row r="157">
      <c r="J157" s="11"/>
      <c r="Q157" s="11"/>
      <c r="R157" s="11"/>
      <c r="S157" s="11"/>
      <c r="T157" s="11"/>
    </row>
    <row r="158">
      <c r="J158" s="11"/>
      <c r="Q158" s="11"/>
      <c r="R158" s="11"/>
      <c r="S158" s="11"/>
      <c r="T158" s="11"/>
    </row>
    <row r="159">
      <c r="J159" s="11"/>
      <c r="Q159" s="11"/>
      <c r="R159" s="11"/>
      <c r="S159" s="11"/>
      <c r="T159" s="11"/>
    </row>
    <row r="160">
      <c r="J160" s="11"/>
      <c r="Q160" s="11"/>
      <c r="R160" s="11"/>
      <c r="S160" s="11"/>
      <c r="T160" s="11"/>
    </row>
    <row r="161">
      <c r="J161" s="11"/>
      <c r="Q161" s="11"/>
      <c r="R161" s="11"/>
      <c r="S161" s="11"/>
      <c r="T161" s="11"/>
    </row>
    <row r="162">
      <c r="J162" s="11"/>
      <c r="Q162" s="11"/>
      <c r="R162" s="11"/>
      <c r="S162" s="11"/>
      <c r="T162" s="11"/>
    </row>
    <row r="163">
      <c r="J163" s="11"/>
      <c r="Q163" s="11"/>
      <c r="R163" s="11"/>
      <c r="S163" s="11"/>
      <c r="T163" s="11"/>
    </row>
    <row r="164">
      <c r="J164" s="11"/>
      <c r="Q164" s="11"/>
      <c r="R164" s="11"/>
      <c r="S164" s="11"/>
      <c r="T164" s="11"/>
    </row>
    <row r="165">
      <c r="J165" s="11"/>
      <c r="Q165" s="11"/>
      <c r="R165" s="11"/>
      <c r="S165" s="11"/>
      <c r="T165" s="11"/>
    </row>
    <row r="166">
      <c r="J166" s="11"/>
      <c r="Q166" s="11"/>
      <c r="R166" s="11"/>
      <c r="S166" s="11"/>
      <c r="T166" s="11"/>
    </row>
    <row r="167">
      <c r="J167" s="11"/>
      <c r="Q167" s="11"/>
      <c r="R167" s="11"/>
      <c r="S167" s="11"/>
      <c r="T167" s="11"/>
    </row>
    <row r="168">
      <c r="J168" s="11"/>
      <c r="Q168" s="11"/>
      <c r="R168" s="11"/>
      <c r="S168" s="11"/>
      <c r="T168" s="11"/>
    </row>
    <row r="169">
      <c r="J169" s="11"/>
      <c r="Q169" s="11"/>
      <c r="R169" s="11"/>
      <c r="S169" s="11"/>
      <c r="T169" s="11"/>
    </row>
    <row r="170">
      <c r="J170" s="11"/>
      <c r="Q170" s="11"/>
      <c r="R170" s="11"/>
      <c r="S170" s="11"/>
      <c r="T170" s="11"/>
    </row>
    <row r="171">
      <c r="J171" s="11"/>
      <c r="Q171" s="11"/>
      <c r="R171" s="11"/>
      <c r="S171" s="11"/>
      <c r="T171" s="11"/>
    </row>
    <row r="172">
      <c r="J172" s="11"/>
      <c r="Q172" s="11"/>
      <c r="R172" s="11"/>
      <c r="S172" s="11"/>
      <c r="T172" s="11"/>
    </row>
    <row r="173">
      <c r="J173" s="11"/>
      <c r="Q173" s="11"/>
      <c r="R173" s="11"/>
      <c r="S173" s="11"/>
      <c r="T173" s="11"/>
    </row>
    <row r="174">
      <c r="J174" s="11"/>
      <c r="Q174" s="11"/>
      <c r="R174" s="11"/>
      <c r="S174" s="11"/>
      <c r="T174" s="11"/>
    </row>
    <row r="175">
      <c r="J175" s="11"/>
      <c r="Q175" s="11"/>
      <c r="R175" s="11"/>
      <c r="S175" s="11"/>
      <c r="T175" s="11"/>
    </row>
    <row r="176">
      <c r="J176" s="11"/>
      <c r="Q176" s="11"/>
      <c r="R176" s="11"/>
      <c r="S176" s="11"/>
      <c r="T176" s="11"/>
    </row>
    <row r="177">
      <c r="J177" s="11"/>
      <c r="Q177" s="11"/>
      <c r="R177" s="11"/>
      <c r="S177" s="11"/>
      <c r="T177" s="11"/>
    </row>
    <row r="178">
      <c r="J178" s="11"/>
      <c r="Q178" s="11"/>
      <c r="R178" s="11"/>
      <c r="S178" s="11"/>
      <c r="T178" s="11"/>
    </row>
    <row r="179">
      <c r="J179" s="11"/>
      <c r="Q179" s="11"/>
      <c r="R179" s="11"/>
      <c r="S179" s="11"/>
      <c r="T179" s="11"/>
    </row>
    <row r="180">
      <c r="J180" s="11"/>
      <c r="Q180" s="11"/>
      <c r="R180" s="11"/>
      <c r="S180" s="11"/>
      <c r="T180" s="11"/>
    </row>
    <row r="181">
      <c r="J181" s="11"/>
      <c r="Q181" s="11"/>
      <c r="R181" s="11"/>
      <c r="S181" s="11"/>
      <c r="T181" s="11"/>
    </row>
    <row r="182">
      <c r="J182" s="11"/>
      <c r="Q182" s="11"/>
      <c r="R182" s="11"/>
      <c r="S182" s="11"/>
      <c r="T182" s="11"/>
    </row>
    <row r="183">
      <c r="J183" s="11"/>
      <c r="Q183" s="11"/>
      <c r="R183" s="11"/>
      <c r="S183" s="11"/>
      <c r="T183" s="11"/>
    </row>
    <row r="184">
      <c r="J184" s="11"/>
      <c r="Q184" s="11"/>
      <c r="R184" s="11"/>
      <c r="S184" s="11"/>
      <c r="T184" s="11"/>
    </row>
    <row r="185">
      <c r="J185" s="11"/>
      <c r="Q185" s="11"/>
      <c r="R185" s="11"/>
      <c r="S185" s="11"/>
      <c r="T185" s="11"/>
    </row>
    <row r="186">
      <c r="J186" s="11"/>
      <c r="Q186" s="11"/>
      <c r="R186" s="11"/>
      <c r="S186" s="11"/>
      <c r="T186" s="11"/>
    </row>
    <row r="187">
      <c r="J187" s="11"/>
      <c r="Q187" s="11"/>
      <c r="R187" s="11"/>
      <c r="S187" s="11"/>
      <c r="T187" s="11"/>
    </row>
    <row r="188">
      <c r="J188" s="11"/>
      <c r="Q188" s="11"/>
      <c r="R188" s="11"/>
      <c r="S188" s="11"/>
      <c r="T188" s="11"/>
    </row>
    <row r="189">
      <c r="J189" s="11"/>
      <c r="Q189" s="11"/>
      <c r="R189" s="11"/>
      <c r="S189" s="11"/>
      <c r="T189" s="11"/>
    </row>
    <row r="190">
      <c r="J190" s="11"/>
      <c r="Q190" s="11"/>
      <c r="R190" s="11"/>
      <c r="S190" s="11"/>
      <c r="T190" s="11"/>
    </row>
    <row r="191">
      <c r="J191" s="11"/>
      <c r="Q191" s="11"/>
      <c r="R191" s="11"/>
      <c r="S191" s="11"/>
      <c r="T191" s="11"/>
    </row>
    <row r="192">
      <c r="J192" s="11"/>
      <c r="Q192" s="11"/>
      <c r="R192" s="11"/>
      <c r="S192" s="11"/>
      <c r="T192" s="11"/>
    </row>
    <row r="193">
      <c r="J193" s="11"/>
      <c r="Q193" s="11"/>
      <c r="R193" s="11"/>
      <c r="S193" s="11"/>
      <c r="T193" s="11"/>
    </row>
    <row r="194">
      <c r="J194" s="11"/>
      <c r="Q194" s="11"/>
      <c r="R194" s="11"/>
      <c r="S194" s="11"/>
      <c r="T194" s="11"/>
    </row>
    <row r="195">
      <c r="J195" s="11"/>
      <c r="Q195" s="11"/>
      <c r="R195" s="11"/>
      <c r="S195" s="11"/>
      <c r="T195" s="11"/>
    </row>
    <row r="196">
      <c r="J196" s="11"/>
      <c r="Q196" s="11"/>
      <c r="R196" s="11"/>
      <c r="S196" s="11"/>
      <c r="T196" s="11"/>
    </row>
    <row r="197">
      <c r="J197" s="11"/>
      <c r="Q197" s="11"/>
      <c r="R197" s="11"/>
      <c r="S197" s="11"/>
      <c r="T197" s="11"/>
    </row>
    <row r="198">
      <c r="J198" s="11"/>
      <c r="Q198" s="11"/>
      <c r="R198" s="11"/>
      <c r="S198" s="11"/>
      <c r="T198" s="11"/>
    </row>
    <row r="199">
      <c r="J199" s="11"/>
      <c r="Q199" s="11"/>
      <c r="R199" s="11"/>
      <c r="S199" s="11"/>
      <c r="T199" s="11"/>
    </row>
    <row r="200">
      <c r="J200" s="11"/>
      <c r="Q200" s="11"/>
      <c r="R200" s="11"/>
      <c r="S200" s="11"/>
      <c r="T200" s="11"/>
    </row>
    <row r="201">
      <c r="J201" s="11"/>
      <c r="Q201" s="11"/>
      <c r="R201" s="11"/>
      <c r="S201" s="11"/>
      <c r="T201" s="11"/>
    </row>
    <row r="202">
      <c r="J202" s="11"/>
      <c r="Q202" s="11"/>
      <c r="R202" s="11"/>
      <c r="S202" s="11"/>
      <c r="T202" s="11"/>
    </row>
    <row r="203">
      <c r="J203" s="11"/>
      <c r="Q203" s="11"/>
      <c r="R203" s="11"/>
      <c r="S203" s="11"/>
      <c r="T203" s="11"/>
    </row>
    <row r="204">
      <c r="J204" s="11"/>
      <c r="Q204" s="11"/>
      <c r="R204" s="11"/>
      <c r="S204" s="11"/>
      <c r="T204" s="11"/>
    </row>
    <row r="205">
      <c r="J205" s="11"/>
      <c r="Q205" s="11"/>
      <c r="R205" s="11"/>
      <c r="S205" s="11"/>
      <c r="T205" s="11"/>
    </row>
    <row r="206">
      <c r="J206" s="11"/>
      <c r="Q206" s="11"/>
      <c r="R206" s="11"/>
      <c r="S206" s="11"/>
      <c r="T206" s="11"/>
    </row>
    <row r="207">
      <c r="J207" s="11"/>
      <c r="Q207" s="11"/>
      <c r="R207" s="11"/>
      <c r="S207" s="11"/>
      <c r="T207" s="11"/>
    </row>
    <row r="208">
      <c r="J208" s="11"/>
      <c r="Q208" s="11"/>
      <c r="R208" s="11"/>
      <c r="S208" s="11"/>
      <c r="T208" s="11"/>
    </row>
    <row r="209">
      <c r="J209" s="11"/>
      <c r="Q209" s="11"/>
      <c r="R209" s="11"/>
      <c r="S209" s="11"/>
      <c r="T209" s="11"/>
    </row>
    <row r="210">
      <c r="J210" s="11"/>
      <c r="Q210" s="11"/>
      <c r="R210" s="11"/>
      <c r="S210" s="11"/>
      <c r="T210" s="11"/>
    </row>
    <row r="211">
      <c r="J211" s="11"/>
      <c r="Q211" s="11"/>
      <c r="R211" s="11"/>
      <c r="S211" s="11"/>
      <c r="T211" s="11"/>
    </row>
    <row r="212">
      <c r="J212" s="11"/>
      <c r="Q212" s="11"/>
      <c r="R212" s="11"/>
      <c r="S212" s="11"/>
      <c r="T212" s="11"/>
    </row>
    <row r="213">
      <c r="J213" s="11"/>
      <c r="Q213" s="11"/>
      <c r="R213" s="11"/>
      <c r="S213" s="11"/>
      <c r="T213" s="11"/>
    </row>
    <row r="214">
      <c r="J214" s="11"/>
      <c r="Q214" s="11"/>
      <c r="R214" s="11"/>
      <c r="S214" s="11"/>
      <c r="T214" s="11"/>
    </row>
    <row r="215">
      <c r="J215" s="11"/>
      <c r="Q215" s="11"/>
      <c r="R215" s="11"/>
      <c r="S215" s="11"/>
      <c r="T215" s="11"/>
    </row>
    <row r="216">
      <c r="J216" s="11"/>
      <c r="Q216" s="11"/>
      <c r="R216" s="11"/>
      <c r="S216" s="11"/>
      <c r="T216" s="11"/>
    </row>
    <row r="217">
      <c r="J217" s="11"/>
      <c r="Q217" s="11"/>
      <c r="R217" s="11"/>
      <c r="S217" s="11"/>
      <c r="T217" s="11"/>
    </row>
    <row r="218">
      <c r="J218" s="11"/>
      <c r="Q218" s="11"/>
      <c r="R218" s="11"/>
      <c r="S218" s="11"/>
      <c r="T218" s="11"/>
    </row>
    <row r="219">
      <c r="J219" s="11"/>
      <c r="Q219" s="11"/>
      <c r="R219" s="11"/>
      <c r="S219" s="11"/>
      <c r="T219" s="11"/>
    </row>
    <row r="220">
      <c r="J220" s="11"/>
      <c r="Q220" s="11"/>
      <c r="R220" s="11"/>
      <c r="S220" s="11"/>
      <c r="T220" s="11"/>
    </row>
    <row r="221">
      <c r="J221" s="11"/>
      <c r="Q221" s="11"/>
      <c r="R221" s="11"/>
      <c r="S221" s="11"/>
      <c r="T221" s="11"/>
    </row>
    <row r="222">
      <c r="J222" s="11"/>
      <c r="Q222" s="11"/>
      <c r="R222" s="11"/>
      <c r="S222" s="11"/>
      <c r="T222" s="11"/>
    </row>
    <row r="223">
      <c r="J223" s="11"/>
      <c r="Q223" s="11"/>
      <c r="R223" s="11"/>
      <c r="S223" s="11"/>
      <c r="T223" s="11"/>
    </row>
    <row r="224">
      <c r="J224" s="11"/>
      <c r="Q224" s="11"/>
      <c r="R224" s="11"/>
      <c r="S224" s="11"/>
      <c r="T224" s="11"/>
    </row>
    <row r="225">
      <c r="J225" s="11"/>
      <c r="Q225" s="11"/>
      <c r="R225" s="11"/>
      <c r="S225" s="11"/>
      <c r="T225" s="11"/>
    </row>
    <row r="226">
      <c r="J226" s="11"/>
      <c r="Q226" s="11"/>
      <c r="R226" s="11"/>
      <c r="S226" s="11"/>
      <c r="T226" s="11"/>
    </row>
    <row r="227">
      <c r="J227" s="11"/>
      <c r="Q227" s="11"/>
      <c r="R227" s="11"/>
      <c r="S227" s="11"/>
      <c r="T227" s="11"/>
    </row>
    <row r="228">
      <c r="J228" s="11"/>
      <c r="Q228" s="11"/>
      <c r="R228" s="11"/>
      <c r="S228" s="11"/>
      <c r="T228" s="11"/>
    </row>
    <row r="229">
      <c r="J229" s="11"/>
      <c r="Q229" s="11"/>
      <c r="R229" s="11"/>
      <c r="S229" s="11"/>
      <c r="T229" s="11"/>
    </row>
    <row r="230">
      <c r="J230" s="11"/>
      <c r="Q230" s="11"/>
      <c r="R230" s="11"/>
      <c r="S230" s="11"/>
      <c r="T230" s="11"/>
    </row>
    <row r="231">
      <c r="J231" s="11"/>
      <c r="Q231" s="11"/>
      <c r="R231" s="11"/>
      <c r="S231" s="11"/>
      <c r="T231" s="11"/>
    </row>
    <row r="232">
      <c r="J232" s="11"/>
      <c r="Q232" s="11"/>
      <c r="R232" s="11"/>
      <c r="S232" s="11"/>
      <c r="T232" s="11"/>
    </row>
    <row r="233">
      <c r="J233" s="11"/>
      <c r="Q233" s="11"/>
      <c r="R233" s="11"/>
      <c r="S233" s="11"/>
      <c r="T233" s="11"/>
    </row>
    <row r="234">
      <c r="J234" s="11"/>
      <c r="Q234" s="11"/>
      <c r="R234" s="11"/>
      <c r="S234" s="11"/>
      <c r="T234" s="11"/>
    </row>
    <row r="235">
      <c r="J235" s="11"/>
      <c r="Q235" s="11"/>
      <c r="R235" s="11"/>
      <c r="S235" s="11"/>
      <c r="T235" s="11"/>
    </row>
    <row r="236">
      <c r="J236" s="11"/>
      <c r="Q236" s="11"/>
      <c r="R236" s="11"/>
      <c r="S236" s="11"/>
      <c r="T236" s="11"/>
    </row>
    <row r="237">
      <c r="J237" s="11"/>
      <c r="Q237" s="11"/>
      <c r="R237" s="11"/>
      <c r="S237" s="11"/>
      <c r="T237" s="11"/>
    </row>
    <row r="238">
      <c r="J238" s="11"/>
      <c r="Q238" s="11"/>
      <c r="R238" s="11"/>
      <c r="S238" s="11"/>
      <c r="T238" s="11"/>
    </row>
    <row r="239">
      <c r="J239" s="11"/>
      <c r="Q239" s="11"/>
      <c r="R239" s="11"/>
      <c r="S239" s="11"/>
      <c r="T239" s="11"/>
    </row>
    <row r="240">
      <c r="J240" s="11"/>
      <c r="Q240" s="11"/>
      <c r="R240" s="11"/>
      <c r="S240" s="11"/>
      <c r="T240" s="11"/>
    </row>
    <row r="241">
      <c r="J241" s="11"/>
      <c r="Q241" s="11"/>
      <c r="R241" s="11"/>
      <c r="S241" s="11"/>
      <c r="T241" s="11"/>
    </row>
    <row r="242">
      <c r="J242" s="11"/>
      <c r="Q242" s="11"/>
      <c r="R242" s="11"/>
      <c r="S242" s="11"/>
      <c r="T242" s="11"/>
    </row>
    <row r="243">
      <c r="J243" s="11"/>
      <c r="Q243" s="11"/>
      <c r="R243" s="11"/>
      <c r="S243" s="11"/>
      <c r="T243" s="11"/>
    </row>
    <row r="244">
      <c r="J244" s="11"/>
      <c r="Q244" s="11"/>
      <c r="R244" s="11"/>
      <c r="S244" s="11"/>
      <c r="T244" s="11"/>
    </row>
    <row r="245">
      <c r="J245" s="11"/>
      <c r="Q245" s="11"/>
      <c r="R245" s="11"/>
      <c r="S245" s="11"/>
      <c r="T245" s="11"/>
    </row>
    <row r="246">
      <c r="J246" s="11"/>
      <c r="Q246" s="11"/>
      <c r="R246" s="11"/>
      <c r="S246" s="11"/>
      <c r="T246" s="11"/>
    </row>
    <row r="247">
      <c r="J247" s="11"/>
      <c r="Q247" s="11"/>
      <c r="R247" s="11"/>
      <c r="S247" s="11"/>
      <c r="T247" s="11"/>
    </row>
    <row r="248">
      <c r="J248" s="11"/>
      <c r="Q248" s="11"/>
      <c r="R248" s="11"/>
      <c r="S248" s="11"/>
      <c r="T248" s="11"/>
    </row>
    <row r="249">
      <c r="J249" s="11"/>
      <c r="Q249" s="11"/>
      <c r="R249" s="11"/>
      <c r="S249" s="11"/>
      <c r="T249" s="11"/>
    </row>
    <row r="250">
      <c r="J250" s="11"/>
      <c r="Q250" s="11"/>
      <c r="R250" s="11"/>
      <c r="S250" s="11"/>
      <c r="T250" s="11"/>
    </row>
    <row r="251">
      <c r="J251" s="11"/>
      <c r="Q251" s="11"/>
      <c r="R251" s="11"/>
      <c r="S251" s="11"/>
      <c r="T251" s="11"/>
    </row>
    <row r="252">
      <c r="J252" s="11"/>
      <c r="Q252" s="11"/>
      <c r="R252" s="11"/>
      <c r="S252" s="11"/>
      <c r="T252" s="11"/>
    </row>
    <row r="253">
      <c r="J253" s="11"/>
      <c r="Q253" s="11"/>
      <c r="R253" s="11"/>
      <c r="S253" s="11"/>
      <c r="T253" s="11"/>
    </row>
    <row r="254">
      <c r="J254" s="11"/>
      <c r="Q254" s="11"/>
      <c r="R254" s="11"/>
      <c r="S254" s="11"/>
      <c r="T254" s="11"/>
    </row>
    <row r="255">
      <c r="J255" s="11"/>
      <c r="Q255" s="11"/>
      <c r="R255" s="11"/>
      <c r="S255" s="11"/>
      <c r="T255" s="11"/>
    </row>
    <row r="256">
      <c r="J256" s="11"/>
      <c r="Q256" s="11"/>
      <c r="R256" s="11"/>
      <c r="S256" s="11"/>
      <c r="T256" s="11"/>
    </row>
    <row r="257">
      <c r="J257" s="11"/>
      <c r="Q257" s="11"/>
      <c r="R257" s="11"/>
      <c r="S257" s="11"/>
      <c r="T257" s="11"/>
    </row>
    <row r="258">
      <c r="J258" s="11"/>
      <c r="Q258" s="11"/>
      <c r="R258" s="11"/>
      <c r="S258" s="11"/>
      <c r="T258" s="11"/>
    </row>
    <row r="259">
      <c r="J259" s="11"/>
      <c r="Q259" s="11"/>
      <c r="R259" s="11"/>
      <c r="S259" s="11"/>
      <c r="T259" s="11"/>
    </row>
    <row r="260">
      <c r="J260" s="11"/>
      <c r="Q260" s="11"/>
      <c r="R260" s="11"/>
      <c r="S260" s="11"/>
      <c r="T260" s="11"/>
    </row>
    <row r="261">
      <c r="J261" s="11"/>
      <c r="Q261" s="11"/>
      <c r="R261" s="11"/>
      <c r="S261" s="11"/>
      <c r="T261" s="11"/>
    </row>
    <row r="262">
      <c r="J262" s="11"/>
      <c r="Q262" s="11"/>
      <c r="R262" s="11"/>
      <c r="S262" s="11"/>
      <c r="T262" s="11"/>
    </row>
    <row r="263">
      <c r="J263" s="11"/>
      <c r="Q263" s="11"/>
      <c r="R263" s="11"/>
      <c r="S263" s="11"/>
      <c r="T263" s="11"/>
    </row>
    <row r="264">
      <c r="J264" s="11"/>
      <c r="Q264" s="11"/>
      <c r="R264" s="11"/>
      <c r="S264" s="11"/>
      <c r="T264" s="11"/>
    </row>
    <row r="265">
      <c r="J265" s="11"/>
      <c r="Q265" s="11"/>
      <c r="R265" s="11"/>
      <c r="S265" s="11"/>
      <c r="T265" s="11"/>
    </row>
    <row r="266">
      <c r="J266" s="11"/>
      <c r="Q266" s="11"/>
      <c r="R266" s="11"/>
      <c r="S266" s="11"/>
      <c r="T266" s="11"/>
    </row>
    <row r="267">
      <c r="J267" s="11"/>
      <c r="Q267" s="11"/>
      <c r="R267" s="11"/>
      <c r="S267" s="11"/>
      <c r="T267" s="11"/>
    </row>
    <row r="268">
      <c r="J268" s="11"/>
      <c r="Q268" s="11"/>
      <c r="R268" s="11"/>
      <c r="S268" s="11"/>
      <c r="T268" s="11"/>
    </row>
    <row r="269">
      <c r="J269" s="11"/>
      <c r="Q269" s="11"/>
      <c r="R269" s="11"/>
      <c r="S269" s="11"/>
      <c r="T269" s="11"/>
    </row>
    <row r="270">
      <c r="J270" s="11"/>
      <c r="Q270" s="11"/>
      <c r="R270" s="11"/>
      <c r="S270" s="11"/>
      <c r="T270" s="11"/>
    </row>
    <row r="271">
      <c r="J271" s="11"/>
      <c r="Q271" s="11"/>
      <c r="R271" s="11"/>
      <c r="S271" s="11"/>
      <c r="T271" s="11"/>
    </row>
    <row r="272">
      <c r="J272" s="11"/>
      <c r="Q272" s="11"/>
      <c r="R272" s="11"/>
      <c r="S272" s="11"/>
      <c r="T272" s="11"/>
    </row>
    <row r="273">
      <c r="J273" s="11"/>
      <c r="Q273" s="11"/>
      <c r="R273" s="11"/>
      <c r="S273" s="11"/>
      <c r="T273" s="11"/>
    </row>
    <row r="274">
      <c r="J274" s="11"/>
      <c r="Q274" s="11"/>
      <c r="R274" s="11"/>
      <c r="S274" s="11"/>
      <c r="T274" s="11"/>
    </row>
    <row r="275">
      <c r="J275" s="11"/>
      <c r="Q275" s="11"/>
      <c r="R275" s="11"/>
      <c r="S275" s="11"/>
      <c r="T275" s="11"/>
    </row>
    <row r="276">
      <c r="J276" s="11"/>
      <c r="Q276" s="11"/>
      <c r="R276" s="11"/>
      <c r="S276" s="11"/>
      <c r="T276" s="11"/>
    </row>
    <row r="277">
      <c r="J277" s="11"/>
      <c r="Q277" s="11"/>
      <c r="R277" s="11"/>
      <c r="S277" s="11"/>
      <c r="T277" s="11"/>
    </row>
    <row r="278">
      <c r="J278" s="11"/>
      <c r="Q278" s="11"/>
      <c r="R278" s="11"/>
      <c r="S278" s="11"/>
      <c r="T278" s="11"/>
    </row>
    <row r="279">
      <c r="J279" s="11"/>
      <c r="Q279" s="11"/>
      <c r="R279" s="11"/>
      <c r="S279" s="11"/>
      <c r="T279" s="11"/>
    </row>
    <row r="280">
      <c r="J280" s="11"/>
      <c r="Q280" s="11"/>
      <c r="R280" s="11"/>
      <c r="S280" s="11"/>
      <c r="T280" s="11"/>
    </row>
    <row r="281">
      <c r="J281" s="11"/>
      <c r="Q281" s="11"/>
      <c r="R281" s="11"/>
      <c r="S281" s="11"/>
      <c r="T281" s="11"/>
    </row>
    <row r="282">
      <c r="J282" s="11"/>
      <c r="Q282" s="11"/>
      <c r="R282" s="11"/>
      <c r="S282" s="11"/>
      <c r="T282" s="11"/>
    </row>
    <row r="283">
      <c r="J283" s="11"/>
      <c r="Q283" s="11"/>
      <c r="R283" s="11"/>
      <c r="S283" s="11"/>
      <c r="T283" s="11"/>
    </row>
    <row r="284">
      <c r="J284" s="11"/>
      <c r="Q284" s="11"/>
      <c r="R284" s="11"/>
      <c r="S284" s="11"/>
      <c r="T284" s="11"/>
    </row>
    <row r="285">
      <c r="J285" s="11"/>
      <c r="Q285" s="11"/>
      <c r="R285" s="11"/>
      <c r="S285" s="11"/>
      <c r="T285" s="11"/>
    </row>
    <row r="286">
      <c r="J286" s="11"/>
      <c r="Q286" s="11"/>
      <c r="R286" s="11"/>
      <c r="S286" s="11"/>
      <c r="T286" s="11"/>
    </row>
    <row r="287">
      <c r="J287" s="11"/>
      <c r="Q287" s="11"/>
      <c r="R287" s="11"/>
      <c r="S287" s="11"/>
      <c r="T287" s="11"/>
    </row>
    <row r="288">
      <c r="J288" s="11"/>
      <c r="Q288" s="11"/>
      <c r="R288" s="11"/>
      <c r="S288" s="11"/>
      <c r="T288" s="11"/>
    </row>
    <row r="289">
      <c r="J289" s="11"/>
      <c r="Q289" s="11"/>
      <c r="R289" s="11"/>
      <c r="S289" s="11"/>
      <c r="T289" s="11"/>
    </row>
    <row r="290">
      <c r="J290" s="11"/>
      <c r="Q290" s="11"/>
      <c r="R290" s="11"/>
      <c r="S290" s="11"/>
      <c r="T290" s="11"/>
    </row>
    <row r="291">
      <c r="J291" s="11"/>
      <c r="Q291" s="11"/>
      <c r="R291" s="11"/>
      <c r="S291" s="11"/>
      <c r="T291" s="11"/>
    </row>
    <row r="292">
      <c r="J292" s="11"/>
      <c r="Q292" s="11"/>
      <c r="R292" s="11"/>
      <c r="S292" s="11"/>
      <c r="T292" s="11"/>
    </row>
    <row r="293">
      <c r="J293" s="11"/>
      <c r="Q293" s="11"/>
      <c r="R293" s="11"/>
      <c r="S293" s="11"/>
      <c r="T293" s="11"/>
    </row>
    <row r="294">
      <c r="J294" s="11"/>
      <c r="Q294" s="11"/>
      <c r="R294" s="11"/>
      <c r="S294" s="11"/>
      <c r="T294" s="11"/>
    </row>
    <row r="295">
      <c r="J295" s="11"/>
      <c r="Q295" s="11"/>
      <c r="R295" s="11"/>
      <c r="S295" s="11"/>
      <c r="T295" s="11"/>
    </row>
    <row r="296">
      <c r="J296" s="11"/>
      <c r="Q296" s="11"/>
      <c r="R296" s="11"/>
      <c r="S296" s="11"/>
      <c r="T296" s="11"/>
    </row>
    <row r="297">
      <c r="J297" s="11"/>
      <c r="Q297" s="11"/>
      <c r="R297" s="11"/>
      <c r="S297" s="11"/>
      <c r="T297" s="11"/>
    </row>
    <row r="298">
      <c r="J298" s="11"/>
      <c r="Q298" s="11"/>
      <c r="R298" s="11"/>
      <c r="S298" s="11"/>
      <c r="T298" s="11"/>
    </row>
    <row r="299">
      <c r="J299" s="11"/>
      <c r="Q299" s="11"/>
      <c r="R299" s="11"/>
      <c r="S299" s="11"/>
      <c r="T299" s="11"/>
    </row>
    <row r="300">
      <c r="J300" s="11"/>
      <c r="Q300" s="11"/>
      <c r="R300" s="11"/>
      <c r="S300" s="11"/>
      <c r="T300" s="11"/>
    </row>
  </sheetData>
  <autoFilter ref="$A$4:$V$19"/>
  <mergeCells count="3">
    <mergeCell ref="A1:V1"/>
    <mergeCell ref="A2:V2"/>
    <mergeCell ref="A3:V3"/>
  </mergeCells>
  <dataValidations>
    <dataValidation type="list" allowBlank="1" showErrorMessage="1" sqref="R5:R300">
      <formula1>"NO,PARTIAL,YES"</formula1>
    </dataValidation>
    <dataValidation type="list" allowBlank="1" showErrorMessage="1" sqref="J5:J33">
      <formula1>"NOT STARTED,IN PROGRESS,PARTIAL,COMPLETE,BLOCKED,COMPLETE WITH UNRESOLVED EVIDENCE"</formula1>
    </dataValidation>
    <dataValidation type="list" allowBlank="1" showErrorMessage="1" sqref="J34:J300">
      <formula1>"NOT STARTED,IN PROGRESS,COMPLETE,BLOCKED"</formula1>
    </dataValidation>
    <dataValidation type="list" allowBlank="1" showErrorMessage="1" sqref="Q5:Q300">
      <formula1>"OPEN,IN_PROGRESS,EVIDENCE_SUBMITTED,HOSTILE_REVIEW,REJECTED,ACCEPTED,DEFERRED"</formula1>
    </dataValidation>
    <dataValidation type="list" allowBlank="1" showErrorMessage="1" sqref="S5:S300">
      <formula1>"NOT REVIEWED,PASS,FAIL,REVIEW REQUIRED"</formula1>
    </dataValidation>
    <dataValidation type="list" allowBlank="1" showErrorMessage="1" sqref="T5:T300">
      <formula1>"NOT ACCEPTED,ACCEPTED,ACCEPTED WITH CONDITIONS,REJECTED,DEFERRED"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5"/>
    <col customWidth="1" min="2" max="2" width="11.75"/>
    <col customWidth="1" min="3" max="3" width="48.13"/>
  </cols>
  <sheetData>
    <row r="1">
      <c r="A1" s="1" t="s">
        <v>1</v>
      </c>
    </row>
    <row r="2">
      <c r="A2" s="3" t="s">
        <v>4</v>
      </c>
      <c r="B2" s="3" t="s">
        <v>8</v>
      </c>
      <c r="C2" s="3" t="s">
        <v>9</v>
      </c>
    </row>
    <row r="3">
      <c r="A3" s="7" t="s">
        <v>10</v>
      </c>
      <c r="B3" s="11">
        <f>COUNTA('Master Register'!A5:A300)</f>
        <v>29</v>
      </c>
      <c r="C3" s="7" t="s">
        <v>120</v>
      </c>
    </row>
    <row r="4">
      <c r="A4" s="7" t="s">
        <v>124</v>
      </c>
      <c r="B4" s="11">
        <f>COUNTIF('Master Register'!D5:D300,"P0")</f>
        <v>16</v>
      </c>
      <c r="C4" s="7" t="s">
        <v>164</v>
      </c>
    </row>
    <row r="5">
      <c r="A5" s="7" t="s">
        <v>169</v>
      </c>
      <c r="B5" s="11">
        <f>COUNTIF('Master Register'!D5:D300,"P1")</f>
        <v>13</v>
      </c>
      <c r="C5" s="7" t="s">
        <v>190</v>
      </c>
    </row>
    <row r="6">
      <c r="A6" s="7" t="s">
        <v>194</v>
      </c>
      <c r="B6" s="11">
        <f>COUNTIF('Master Register'!Q5:Q300,"OPEN")</f>
        <v>29</v>
      </c>
      <c r="C6" s="7" t="s">
        <v>208</v>
      </c>
    </row>
    <row r="7">
      <c r="A7" s="7" t="s">
        <v>212</v>
      </c>
      <c r="B7" s="11">
        <f>COUNTIF('Master Register'!Q5:Q300,"IN_PROGRESS")</f>
        <v>0</v>
      </c>
      <c r="C7" s="7" t="s">
        <v>230</v>
      </c>
    </row>
    <row r="8">
      <c r="A8" s="7" t="s">
        <v>59</v>
      </c>
      <c r="B8" s="11">
        <f>COUNTIF('Master Register'!Q5:Q300,"EVIDENCE_SUBMITTED")</f>
        <v>0</v>
      </c>
      <c r="C8" s="7" t="s">
        <v>247</v>
      </c>
    </row>
    <row r="9">
      <c r="A9" s="7" t="s">
        <v>250</v>
      </c>
      <c r="B9" s="11">
        <f>COUNTIF('Master Register'!T5:T300,"ACCEPTED")</f>
        <v>0</v>
      </c>
      <c r="C9" s="7" t="s">
        <v>267</v>
      </c>
    </row>
    <row r="10">
      <c r="A10" s="7" t="s">
        <v>269</v>
      </c>
      <c r="B10" s="11">
        <f>COUNTIF('Master Register'!T5:T300,"REJECTED")</f>
        <v>0</v>
      </c>
      <c r="C10" s="7" t="s">
        <v>277</v>
      </c>
    </row>
    <row r="11">
      <c r="A11" s="7" t="s">
        <v>279</v>
      </c>
      <c r="B11" s="13">
        <f>IF(B3=0,0,B9/B3)</f>
        <v>0</v>
      </c>
      <c r="C11" s="7" t="s">
        <v>298</v>
      </c>
    </row>
    <row r="13">
      <c r="A13" s="7" t="s">
        <v>300</v>
      </c>
      <c r="B13" s="7" t="s">
        <v>302</v>
      </c>
      <c r="C13" s="7" t="s">
        <v>303</v>
      </c>
    </row>
    <row r="14">
      <c r="A14" s="7" t="s">
        <v>305</v>
      </c>
      <c r="B14" s="11" t="str">
        <f>IF(AND(B4=COUNTIFS('Master Register'!D5:D300,"P0",'Master Register'!T5:T300,"ACCEPTED"),COUNTIF('Master Register'!T5:T300,"REJECTED")=0),"P0 CLEAR","BLOCKED")</f>
        <v>BLOCKED</v>
      </c>
      <c r="C14" s="7" t="s">
        <v>341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5"/>
    <col customWidth="1" min="2" max="2" width="16.75"/>
    <col customWidth="1" min="3" max="3" width="76.25"/>
    <col customWidth="1" min="4" max="4" width="29.75"/>
    <col customWidth="1" min="5" max="5" width="47.5"/>
    <col customWidth="1" min="6" max="6" width="31.38"/>
    <col customWidth="1" min="7" max="7" width="16.38"/>
  </cols>
  <sheetData>
    <row r="1">
      <c r="A1" s="1" t="s">
        <v>0</v>
      </c>
    </row>
    <row r="2">
      <c r="A2" s="5" t="s">
        <v>6</v>
      </c>
      <c r="B2" s="5" t="s">
        <v>28</v>
      </c>
      <c r="C2" s="5" t="s">
        <v>33</v>
      </c>
      <c r="D2" s="5" t="s">
        <v>38</v>
      </c>
      <c r="E2" s="5" t="s">
        <v>41</v>
      </c>
      <c r="F2" s="5" t="s">
        <v>43</v>
      </c>
      <c r="G2" s="5" t="s">
        <v>46</v>
      </c>
      <c r="H2" s="5" t="s">
        <v>49</v>
      </c>
    </row>
    <row r="3">
      <c r="A3" s="7" t="s">
        <v>71</v>
      </c>
      <c r="B3" s="7" t="s">
        <v>76</v>
      </c>
      <c r="C3" s="7" t="s">
        <v>79</v>
      </c>
      <c r="D3" s="7" t="s">
        <v>82</v>
      </c>
      <c r="E3" s="7" t="s">
        <v>83</v>
      </c>
      <c r="F3" s="7" t="s">
        <v>85</v>
      </c>
      <c r="G3" s="7" t="s">
        <v>97</v>
      </c>
    </row>
    <row r="4">
      <c r="A4" s="7" t="s">
        <v>98</v>
      </c>
      <c r="B4" s="7" t="s">
        <v>76</v>
      </c>
      <c r="C4" s="7" t="s">
        <v>99</v>
      </c>
      <c r="D4" s="7" t="s">
        <v>100</v>
      </c>
      <c r="E4" s="7" t="s">
        <v>101</v>
      </c>
      <c r="F4" s="7" t="s">
        <v>85</v>
      </c>
      <c r="G4" s="7" t="s">
        <v>97</v>
      </c>
    </row>
    <row r="5">
      <c r="A5" s="7" t="s">
        <v>107</v>
      </c>
      <c r="B5" s="7" t="s">
        <v>125</v>
      </c>
      <c r="C5" s="7" t="s">
        <v>127</v>
      </c>
      <c r="D5" s="7" t="s">
        <v>129</v>
      </c>
      <c r="E5" s="7" t="s">
        <v>130</v>
      </c>
      <c r="F5" s="7" t="s">
        <v>132</v>
      </c>
      <c r="G5" s="7" t="s">
        <v>97</v>
      </c>
    </row>
    <row r="6">
      <c r="A6" s="7" t="s">
        <v>134</v>
      </c>
      <c r="B6" s="7" t="s">
        <v>125</v>
      </c>
      <c r="C6" s="7" t="s">
        <v>136</v>
      </c>
      <c r="D6" s="7" t="s">
        <v>138</v>
      </c>
      <c r="E6" s="7" t="s">
        <v>139</v>
      </c>
      <c r="F6" s="7" t="s">
        <v>141</v>
      </c>
      <c r="G6" s="7" t="s">
        <v>97</v>
      </c>
    </row>
    <row r="7">
      <c r="A7" s="7" t="s">
        <v>143</v>
      </c>
      <c r="B7" s="7" t="s">
        <v>76</v>
      </c>
      <c r="C7" s="7" t="s">
        <v>145</v>
      </c>
      <c r="D7" s="7" t="s">
        <v>147</v>
      </c>
      <c r="E7" s="7" t="s">
        <v>148</v>
      </c>
      <c r="F7" s="7" t="s">
        <v>85</v>
      </c>
      <c r="G7" s="7" t="s">
        <v>97</v>
      </c>
    </row>
    <row r="8">
      <c r="A8" s="7" t="s">
        <v>152</v>
      </c>
      <c r="B8" s="7" t="s">
        <v>76</v>
      </c>
      <c r="C8" s="7" t="s">
        <v>155</v>
      </c>
      <c r="D8" s="7" t="s">
        <v>147</v>
      </c>
      <c r="E8" s="7" t="s">
        <v>157</v>
      </c>
      <c r="F8" s="7" t="s">
        <v>85</v>
      </c>
      <c r="G8" s="7" t="s">
        <v>97</v>
      </c>
    </row>
    <row r="9">
      <c r="A9" s="7" t="s">
        <v>161</v>
      </c>
      <c r="B9" s="7" t="s">
        <v>125</v>
      </c>
      <c r="C9" s="7" t="s">
        <v>163</v>
      </c>
      <c r="D9" s="7" t="s">
        <v>166</v>
      </c>
      <c r="E9" s="7" t="s">
        <v>168</v>
      </c>
      <c r="F9" s="7" t="s">
        <v>172</v>
      </c>
      <c r="G9" s="7" t="s">
        <v>97</v>
      </c>
    </row>
    <row r="10">
      <c r="A10" s="7" t="s">
        <v>173</v>
      </c>
      <c r="B10" s="7" t="s">
        <v>125</v>
      </c>
      <c r="C10" s="7" t="s">
        <v>175</v>
      </c>
      <c r="D10" s="7" t="s">
        <v>177</v>
      </c>
      <c r="E10" s="7" t="s">
        <v>178</v>
      </c>
      <c r="F10" s="7" t="s">
        <v>179</v>
      </c>
      <c r="G10" s="7" t="s">
        <v>97</v>
      </c>
    </row>
    <row r="11">
      <c r="A11" s="7" t="s">
        <v>181</v>
      </c>
      <c r="B11" s="7" t="s">
        <v>76</v>
      </c>
      <c r="C11" s="7" t="s">
        <v>183</v>
      </c>
      <c r="D11" s="7" t="s">
        <v>184</v>
      </c>
      <c r="E11" s="7" t="s">
        <v>185</v>
      </c>
      <c r="F11" s="7" t="s">
        <v>85</v>
      </c>
      <c r="G11" s="7" t="s">
        <v>97</v>
      </c>
    </row>
    <row r="12">
      <c r="A12" s="7" t="s">
        <v>187</v>
      </c>
      <c r="B12" s="7" t="s">
        <v>125</v>
      </c>
      <c r="C12" s="7" t="s">
        <v>188</v>
      </c>
      <c r="D12" s="7" t="s">
        <v>189</v>
      </c>
      <c r="E12" s="7" t="s">
        <v>192</v>
      </c>
      <c r="F12" s="7" t="s">
        <v>195</v>
      </c>
      <c r="G12" s="7" t="s">
        <v>97</v>
      </c>
    </row>
    <row r="13">
      <c r="A13" s="9" t="s">
        <v>196</v>
      </c>
      <c r="B13" s="9" t="s">
        <v>76</v>
      </c>
      <c r="C13" s="9" t="s">
        <v>197</v>
      </c>
      <c r="D13" s="9" t="s">
        <v>198</v>
      </c>
      <c r="E13" s="9" t="s">
        <v>199</v>
      </c>
      <c r="F13" s="9" t="s">
        <v>200</v>
      </c>
      <c r="G13" s="9" t="s">
        <v>97</v>
      </c>
      <c r="H13" s="9" t="s">
        <v>203</v>
      </c>
    </row>
    <row r="14">
      <c r="A14" s="9" t="s">
        <v>204</v>
      </c>
      <c r="B14" s="9" t="s">
        <v>125</v>
      </c>
      <c r="C14" s="9" t="s">
        <v>206</v>
      </c>
      <c r="D14" s="9" t="s">
        <v>207</v>
      </c>
      <c r="E14" s="9" t="s">
        <v>210</v>
      </c>
      <c r="F14" s="9" t="s">
        <v>211</v>
      </c>
      <c r="G14" s="9" t="s">
        <v>97</v>
      </c>
      <c r="H14" s="9" t="s">
        <v>215</v>
      </c>
    </row>
    <row r="15">
      <c r="A15" s="9" t="s">
        <v>217</v>
      </c>
      <c r="B15" s="9" t="s">
        <v>125</v>
      </c>
      <c r="C15" s="9" t="s">
        <v>218</v>
      </c>
      <c r="D15" s="9" t="s">
        <v>219</v>
      </c>
      <c r="E15" s="9" t="s">
        <v>220</v>
      </c>
      <c r="F15" s="9" t="s">
        <v>222</v>
      </c>
      <c r="G15" s="9" t="s">
        <v>97</v>
      </c>
      <c r="H15" s="9" t="s">
        <v>224</v>
      </c>
    </row>
    <row r="16">
      <c r="A16" s="9" t="s">
        <v>225</v>
      </c>
      <c r="B16" s="9" t="s">
        <v>125</v>
      </c>
      <c r="C16" s="9" t="s">
        <v>226</v>
      </c>
      <c r="D16" s="9" t="s">
        <v>227</v>
      </c>
      <c r="E16" s="9" t="s">
        <v>228</v>
      </c>
      <c r="F16" s="9" t="s">
        <v>229</v>
      </c>
      <c r="G16" s="9" t="s">
        <v>97</v>
      </c>
      <c r="H16" s="9" t="s">
        <v>231</v>
      </c>
    </row>
    <row r="17">
      <c r="A17" s="9" t="s">
        <v>232</v>
      </c>
      <c r="B17" s="9" t="s">
        <v>125</v>
      </c>
      <c r="C17" s="9" t="s">
        <v>234</v>
      </c>
      <c r="D17" s="9" t="s">
        <v>235</v>
      </c>
      <c r="E17" s="9" t="s">
        <v>237</v>
      </c>
      <c r="F17" s="9" t="s">
        <v>239</v>
      </c>
      <c r="G17" s="9" t="s">
        <v>97</v>
      </c>
      <c r="H17" s="9" t="s">
        <v>240</v>
      </c>
    </row>
    <row r="18">
      <c r="A18" s="9" t="s">
        <v>241</v>
      </c>
      <c r="B18" s="9" t="s">
        <v>125</v>
      </c>
      <c r="C18" s="9" t="s">
        <v>242</v>
      </c>
      <c r="D18" s="9" t="s">
        <v>243</v>
      </c>
      <c r="E18" s="9" t="s">
        <v>244</v>
      </c>
      <c r="F18" s="9" t="s">
        <v>245</v>
      </c>
      <c r="G18" s="9" t="s">
        <v>97</v>
      </c>
      <c r="H18" s="9" t="s">
        <v>249</v>
      </c>
    </row>
    <row r="19">
      <c r="A19" s="9" t="s">
        <v>252</v>
      </c>
      <c r="B19" s="9" t="s">
        <v>125</v>
      </c>
      <c r="C19" s="9" t="s">
        <v>255</v>
      </c>
      <c r="D19" s="9" t="s">
        <v>256</v>
      </c>
      <c r="E19" s="9" t="s">
        <v>258</v>
      </c>
      <c r="F19" s="9" t="s">
        <v>260</v>
      </c>
      <c r="G19" s="9" t="s">
        <v>97</v>
      </c>
      <c r="H19" s="9" t="s">
        <v>261</v>
      </c>
    </row>
    <row r="20">
      <c r="A20" s="9" t="s">
        <v>262</v>
      </c>
      <c r="B20" s="9" t="s">
        <v>125</v>
      </c>
      <c r="C20" s="9" t="s">
        <v>265</v>
      </c>
      <c r="D20" s="9" t="s">
        <v>266</v>
      </c>
      <c r="E20" s="9" t="s">
        <v>268</v>
      </c>
      <c r="F20" s="9" t="s">
        <v>270</v>
      </c>
      <c r="G20" s="9" t="s">
        <v>97</v>
      </c>
      <c r="H20" s="9" t="s">
        <v>271</v>
      </c>
    </row>
    <row r="21">
      <c r="G21" s="11"/>
    </row>
    <row r="22">
      <c r="G22" s="11"/>
    </row>
    <row r="23">
      <c r="G23" s="11"/>
    </row>
    <row r="24">
      <c r="G24" s="11"/>
    </row>
    <row r="25">
      <c r="G25" s="11"/>
    </row>
    <row r="26">
      <c r="G26" s="11"/>
    </row>
    <row r="27">
      <c r="G27" s="11"/>
    </row>
    <row r="28">
      <c r="G28" s="11"/>
    </row>
    <row r="29">
      <c r="G29" s="11"/>
    </row>
    <row r="30">
      <c r="G30" s="11"/>
    </row>
    <row r="31">
      <c r="G31" s="11"/>
    </row>
    <row r="32">
      <c r="G32" s="11"/>
    </row>
    <row r="33">
      <c r="G33" s="11"/>
    </row>
    <row r="34">
      <c r="G34" s="11"/>
    </row>
    <row r="35">
      <c r="G35" s="11"/>
    </row>
    <row r="36">
      <c r="G36" s="11"/>
    </row>
    <row r="37">
      <c r="G37" s="11"/>
    </row>
    <row r="38">
      <c r="G38" s="11"/>
    </row>
    <row r="39">
      <c r="G39" s="11"/>
    </row>
    <row r="40">
      <c r="G40" s="11"/>
    </row>
    <row r="41">
      <c r="G41" s="11"/>
    </row>
    <row r="42">
      <c r="G42" s="11"/>
    </row>
    <row r="43">
      <c r="G43" s="11"/>
    </row>
    <row r="44">
      <c r="G44" s="11"/>
    </row>
    <row r="45">
      <c r="G45" s="11"/>
    </row>
    <row r="46">
      <c r="G46" s="11"/>
    </row>
    <row r="47">
      <c r="G47" s="11"/>
    </row>
    <row r="48">
      <c r="G48" s="11"/>
    </row>
    <row r="49">
      <c r="G49" s="11"/>
    </row>
    <row r="50">
      <c r="G50" s="11"/>
    </row>
    <row r="51">
      <c r="G51" s="11"/>
    </row>
    <row r="52">
      <c r="G52" s="11"/>
    </row>
    <row r="53">
      <c r="G53" s="11"/>
    </row>
    <row r="54">
      <c r="G54" s="11"/>
    </row>
    <row r="55">
      <c r="G55" s="11"/>
    </row>
    <row r="56">
      <c r="G56" s="11"/>
    </row>
    <row r="57">
      <c r="G57" s="11"/>
    </row>
    <row r="58">
      <c r="G58" s="11"/>
    </row>
    <row r="59">
      <c r="G59" s="11"/>
    </row>
    <row r="60">
      <c r="G60" s="11"/>
    </row>
    <row r="61">
      <c r="G61" s="11"/>
    </row>
    <row r="62">
      <c r="G62" s="11"/>
    </row>
    <row r="63">
      <c r="G63" s="11"/>
    </row>
    <row r="64">
      <c r="G64" s="11"/>
    </row>
    <row r="65">
      <c r="G65" s="11"/>
    </row>
    <row r="66">
      <c r="G66" s="11"/>
    </row>
    <row r="67">
      <c r="G67" s="11"/>
    </row>
    <row r="68">
      <c r="G68" s="11"/>
    </row>
    <row r="69">
      <c r="G69" s="11"/>
    </row>
    <row r="70">
      <c r="G70" s="11"/>
    </row>
    <row r="71">
      <c r="G71" s="11"/>
    </row>
    <row r="72">
      <c r="G72" s="11"/>
    </row>
    <row r="73">
      <c r="G73" s="11"/>
    </row>
    <row r="74">
      <c r="G74" s="11"/>
    </row>
    <row r="75">
      <c r="G75" s="11"/>
    </row>
    <row r="76">
      <c r="G76" s="11"/>
    </row>
    <row r="77">
      <c r="G77" s="11"/>
    </row>
    <row r="78">
      <c r="G78" s="11"/>
    </row>
    <row r="79">
      <c r="G79" s="11"/>
    </row>
    <row r="80">
      <c r="G80" s="11"/>
    </row>
    <row r="81">
      <c r="G81" s="11"/>
    </row>
    <row r="82">
      <c r="G82" s="11"/>
    </row>
    <row r="83">
      <c r="G83" s="11"/>
    </row>
    <row r="84">
      <c r="G84" s="11"/>
    </row>
    <row r="85">
      <c r="G85" s="11"/>
    </row>
    <row r="86">
      <c r="G86" s="11"/>
    </row>
    <row r="87">
      <c r="G87" s="11"/>
    </row>
    <row r="88">
      <c r="G88" s="11"/>
    </row>
    <row r="89">
      <c r="G89" s="11"/>
    </row>
    <row r="90">
      <c r="G90" s="11"/>
    </row>
    <row r="91">
      <c r="G91" s="11"/>
    </row>
    <row r="92">
      <c r="G92" s="11"/>
    </row>
    <row r="93">
      <c r="G93" s="11"/>
    </row>
    <row r="94">
      <c r="G94" s="11"/>
    </row>
    <row r="95">
      <c r="G95" s="11"/>
    </row>
    <row r="96">
      <c r="G96" s="11"/>
    </row>
    <row r="97">
      <c r="G97" s="11"/>
    </row>
    <row r="98">
      <c r="G98" s="11"/>
    </row>
    <row r="99">
      <c r="G99" s="11"/>
    </row>
    <row r="100">
      <c r="G100" s="11"/>
    </row>
    <row r="101">
      <c r="G101" s="11"/>
    </row>
    <row r="102">
      <c r="G102" s="11"/>
    </row>
    <row r="103">
      <c r="G103" s="11"/>
    </row>
    <row r="104">
      <c r="G104" s="11"/>
    </row>
    <row r="105">
      <c r="G105" s="11"/>
    </row>
    <row r="106">
      <c r="G106" s="11"/>
    </row>
    <row r="107">
      <c r="G107" s="11"/>
    </row>
    <row r="108">
      <c r="G108" s="11"/>
    </row>
    <row r="109">
      <c r="G109" s="11"/>
    </row>
    <row r="110">
      <c r="G110" s="11"/>
    </row>
    <row r="111">
      <c r="G111" s="11"/>
    </row>
    <row r="112">
      <c r="G112" s="11"/>
    </row>
    <row r="113">
      <c r="G113" s="11"/>
    </row>
    <row r="114">
      <c r="G114" s="11"/>
    </row>
    <row r="115">
      <c r="G115" s="11"/>
    </row>
    <row r="116">
      <c r="G116" s="11"/>
    </row>
    <row r="117">
      <c r="G117" s="11"/>
    </row>
    <row r="118">
      <c r="G118" s="11"/>
    </row>
    <row r="119">
      <c r="G119" s="11"/>
    </row>
    <row r="120">
      <c r="G120" s="11"/>
    </row>
  </sheetData>
  <mergeCells count="1">
    <mergeCell ref="A1:H1"/>
  </mergeCells>
  <dataValidations>
    <dataValidation type="list" allowBlank="1" showErrorMessage="1" sqref="G3:G120">
      <formula1>"NOT REVIEWED,PASS,FAIL,N/A"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5"/>
    <col customWidth="1" min="2" max="2" width="116.25"/>
    <col customWidth="1" min="3" max="3" width="26.5"/>
    <col customWidth="1" min="4" max="4" width="42.63"/>
    <col customWidth="1" min="5" max="5" width="33.0"/>
    <col customWidth="1" min="6" max="6" width="66.13"/>
  </cols>
  <sheetData>
    <row r="1">
      <c r="A1" s="1" t="s">
        <v>3</v>
      </c>
    </row>
    <row r="2">
      <c r="A2" s="5" t="s">
        <v>5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</row>
    <row r="3">
      <c r="A3" s="7" t="s">
        <v>17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</row>
    <row r="4">
      <c r="A4" s="7" t="s">
        <v>26</v>
      </c>
      <c r="B4" s="7" t="s">
        <v>29</v>
      </c>
      <c r="C4" s="7" t="s">
        <v>31</v>
      </c>
      <c r="D4" s="7" t="s">
        <v>34</v>
      </c>
      <c r="E4" s="7" t="s">
        <v>36</v>
      </c>
      <c r="F4" s="7" t="s">
        <v>39</v>
      </c>
    </row>
    <row r="5">
      <c r="A5" s="7" t="s">
        <v>36</v>
      </c>
      <c r="B5" s="7" t="s">
        <v>44</v>
      </c>
      <c r="C5" s="7" t="s">
        <v>31</v>
      </c>
      <c r="D5" s="7" t="s">
        <v>48</v>
      </c>
      <c r="E5" s="7" t="s">
        <v>51</v>
      </c>
      <c r="F5" s="7" t="s">
        <v>53</v>
      </c>
    </row>
    <row r="6">
      <c r="A6" s="7" t="s">
        <v>51</v>
      </c>
      <c r="B6" s="7" t="s">
        <v>56</v>
      </c>
      <c r="C6" s="7" t="s">
        <v>58</v>
      </c>
      <c r="D6" s="7" t="s">
        <v>60</v>
      </c>
      <c r="E6" s="7" t="s">
        <v>62</v>
      </c>
      <c r="F6" s="7" t="s">
        <v>64</v>
      </c>
    </row>
    <row r="7">
      <c r="A7" s="7" t="s">
        <v>67</v>
      </c>
      <c r="B7" s="7" t="s">
        <v>68</v>
      </c>
      <c r="C7" s="7" t="s">
        <v>58</v>
      </c>
      <c r="D7" s="7" t="s">
        <v>70</v>
      </c>
      <c r="E7" s="7" t="s">
        <v>26</v>
      </c>
      <c r="F7" s="7" t="s">
        <v>73</v>
      </c>
    </row>
    <row r="8">
      <c r="A8" s="7" t="s">
        <v>77</v>
      </c>
      <c r="B8" s="7" t="s">
        <v>80</v>
      </c>
      <c r="C8" s="7" t="s">
        <v>58</v>
      </c>
      <c r="D8" s="7" t="s">
        <v>84</v>
      </c>
      <c r="E8" s="7" t="s">
        <v>86</v>
      </c>
      <c r="F8" s="7" t="s">
        <v>88</v>
      </c>
    </row>
    <row r="9">
      <c r="A9" s="7" t="s">
        <v>89</v>
      </c>
      <c r="B9" s="7" t="s">
        <v>90</v>
      </c>
      <c r="C9" s="7" t="s">
        <v>91</v>
      </c>
      <c r="D9" s="7" t="s">
        <v>93</v>
      </c>
      <c r="E9" s="7" t="s">
        <v>17</v>
      </c>
      <c r="F9" s="7" t="s">
        <v>94</v>
      </c>
    </row>
    <row r="11">
      <c r="A11" s="9" t="s">
        <v>96</v>
      </c>
      <c r="B11" s="9" t="s">
        <v>12</v>
      </c>
    </row>
    <row r="12">
      <c r="A12" s="9" t="s">
        <v>103</v>
      </c>
      <c r="B12" s="9" t="s">
        <v>105</v>
      </c>
      <c r="C12" s="9" t="s">
        <v>106</v>
      </c>
      <c r="D12" s="9" t="s">
        <v>109</v>
      </c>
      <c r="E12" s="9" t="s">
        <v>111</v>
      </c>
      <c r="F12" s="9" t="s">
        <v>112</v>
      </c>
    </row>
    <row r="13">
      <c r="A13" s="9" t="s">
        <v>113</v>
      </c>
      <c r="B13" s="9" t="s">
        <v>114</v>
      </c>
      <c r="C13" s="9" t="s">
        <v>31</v>
      </c>
      <c r="D13" s="9" t="s">
        <v>115</v>
      </c>
      <c r="E13" s="9" t="s">
        <v>116</v>
      </c>
      <c r="F13" s="9" t="s">
        <v>117</v>
      </c>
    </row>
    <row r="14">
      <c r="A14" s="9" t="s">
        <v>102</v>
      </c>
      <c r="B14" s="9" t="s">
        <v>118</v>
      </c>
      <c r="C14" s="9" t="s">
        <v>119</v>
      </c>
      <c r="D14" s="9" t="s">
        <v>121</v>
      </c>
      <c r="E14" s="9" t="s">
        <v>122</v>
      </c>
      <c r="F14" s="9" t="s">
        <v>126</v>
      </c>
    </row>
    <row r="15">
      <c r="A15" s="9" t="s">
        <v>128</v>
      </c>
      <c r="B15" s="9" t="s">
        <v>131</v>
      </c>
      <c r="C15" s="9" t="s">
        <v>119</v>
      </c>
      <c r="D15" s="9" t="s">
        <v>133</v>
      </c>
      <c r="E15" s="9" t="s">
        <v>135</v>
      </c>
      <c r="F15" s="9" t="s">
        <v>137</v>
      </c>
    </row>
    <row r="16">
      <c r="A16" s="9" t="s">
        <v>140</v>
      </c>
      <c r="B16" s="9" t="s">
        <v>142</v>
      </c>
      <c r="C16" s="9" t="s">
        <v>106</v>
      </c>
      <c r="D16" s="9" t="s">
        <v>144</v>
      </c>
      <c r="E16" s="9" t="s">
        <v>146</v>
      </c>
      <c r="F16" s="9" t="s">
        <v>149</v>
      </c>
    </row>
    <row r="17">
      <c r="A17" s="9" t="s">
        <v>151</v>
      </c>
      <c r="B17" s="9" t="s">
        <v>153</v>
      </c>
      <c r="C17" s="9" t="s">
        <v>106</v>
      </c>
      <c r="D17" s="9" t="s">
        <v>156</v>
      </c>
      <c r="E17" s="9" t="s">
        <v>158</v>
      </c>
      <c r="F17" s="9" t="s">
        <v>159</v>
      </c>
    </row>
    <row r="18">
      <c r="A18" s="9" t="s">
        <v>160</v>
      </c>
      <c r="B18" s="9" t="s">
        <v>162</v>
      </c>
      <c r="C18" s="9" t="s">
        <v>31</v>
      </c>
      <c r="D18" s="9" t="s">
        <v>165</v>
      </c>
      <c r="E18" s="9" t="s">
        <v>167</v>
      </c>
      <c r="F18" s="9" t="s">
        <v>171</v>
      </c>
    </row>
  </sheetData>
  <mergeCells count="2">
    <mergeCell ref="A1:F1"/>
    <mergeCell ref="B11:F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68.0"/>
    <col customWidth="1" min="3" max="3" width="110.25"/>
  </cols>
  <sheetData>
    <row r="1">
      <c r="A1" s="7" t="s">
        <v>292</v>
      </c>
    </row>
    <row r="2">
      <c r="A2" s="7" t="s">
        <v>294</v>
      </c>
      <c r="B2" s="7" t="s">
        <v>296</v>
      </c>
      <c r="C2" s="7" t="s">
        <v>299</v>
      </c>
      <c r="D2" s="7" t="s">
        <v>301</v>
      </c>
    </row>
    <row r="3">
      <c r="A3" s="9" t="s">
        <v>304</v>
      </c>
      <c r="B3" s="9" t="s">
        <v>306</v>
      </c>
      <c r="C3" s="9" t="s">
        <v>309</v>
      </c>
      <c r="D3" s="9" t="s">
        <v>311</v>
      </c>
    </row>
    <row r="4">
      <c r="A4" s="9" t="s">
        <v>313</v>
      </c>
      <c r="B4" s="9" t="s">
        <v>306</v>
      </c>
      <c r="C4" s="9" t="s">
        <v>316</v>
      </c>
      <c r="D4" s="9" t="s">
        <v>318</v>
      </c>
    </row>
    <row r="5">
      <c r="A5" s="9" t="s">
        <v>320</v>
      </c>
      <c r="B5" s="9" t="s">
        <v>306</v>
      </c>
      <c r="C5" s="9" t="s">
        <v>322</v>
      </c>
      <c r="D5" s="9" t="s">
        <v>324</v>
      </c>
    </row>
    <row r="6">
      <c r="A6" s="9" t="s">
        <v>325</v>
      </c>
      <c r="B6" s="9" t="s">
        <v>306</v>
      </c>
      <c r="C6" s="9" t="s">
        <v>326</v>
      </c>
      <c r="D6" s="9" t="s">
        <v>327</v>
      </c>
    </row>
    <row r="7">
      <c r="A7" s="9" t="s">
        <v>330</v>
      </c>
      <c r="B7" s="9" t="s">
        <v>306</v>
      </c>
      <c r="C7" s="9" t="s">
        <v>331</v>
      </c>
      <c r="D7" s="9" t="s">
        <v>333</v>
      </c>
    </row>
    <row r="8">
      <c r="A8" s="9" t="s">
        <v>336</v>
      </c>
      <c r="B8" s="9" t="s">
        <v>306</v>
      </c>
      <c r="C8" s="9" t="s">
        <v>339</v>
      </c>
      <c r="D8" s="9" t="s">
        <v>340</v>
      </c>
    </row>
    <row r="9">
      <c r="A9" s="9" t="s">
        <v>342</v>
      </c>
      <c r="B9" s="9" t="s">
        <v>306</v>
      </c>
      <c r="C9" s="9" t="s">
        <v>345</v>
      </c>
      <c r="D9" s="9" t="s">
        <v>346</v>
      </c>
    </row>
    <row r="10">
      <c r="A10" s="9" t="s">
        <v>347</v>
      </c>
      <c r="B10" s="9" t="s">
        <v>306</v>
      </c>
      <c r="C10" s="9" t="s">
        <v>348</v>
      </c>
      <c r="D10" s="9" t="s">
        <v>349</v>
      </c>
    </row>
    <row r="11">
      <c r="A11" s="9" t="s">
        <v>350</v>
      </c>
      <c r="B11" s="9" t="s">
        <v>306</v>
      </c>
      <c r="C11" s="9" t="s">
        <v>352</v>
      </c>
      <c r="D11" s="9" t="s">
        <v>353</v>
      </c>
    </row>
    <row r="12">
      <c r="A12" s="9" t="s">
        <v>355</v>
      </c>
      <c r="B12" s="9" t="s">
        <v>306</v>
      </c>
      <c r="C12" s="9" t="s">
        <v>357</v>
      </c>
      <c r="D12" s="9" t="s">
        <v>359</v>
      </c>
    </row>
    <row r="13">
      <c r="A13" s="9" t="s">
        <v>361</v>
      </c>
      <c r="B13" s="9" t="s">
        <v>306</v>
      </c>
      <c r="C13" s="9" t="s">
        <v>365</v>
      </c>
      <c r="D13" s="9" t="s">
        <v>366</v>
      </c>
    </row>
    <row r="14">
      <c r="A14" s="9" t="s">
        <v>367</v>
      </c>
      <c r="B14" s="9" t="s">
        <v>369</v>
      </c>
      <c r="C14" s="9" t="s">
        <v>371</v>
      </c>
      <c r="D14" s="9" t="s">
        <v>372</v>
      </c>
    </row>
    <row r="15">
      <c r="A15" s="9" t="s">
        <v>373</v>
      </c>
      <c r="B15" s="9" t="s">
        <v>374</v>
      </c>
      <c r="C15" s="9" t="s">
        <v>376</v>
      </c>
      <c r="D15" s="9" t="s">
        <v>378</v>
      </c>
    </row>
    <row r="16">
      <c r="A16" s="9" t="s">
        <v>379</v>
      </c>
      <c r="B16" s="9" t="s">
        <v>383</v>
      </c>
      <c r="C16" s="9" t="s">
        <v>385</v>
      </c>
      <c r="D16" s="9" t="s">
        <v>387</v>
      </c>
    </row>
  </sheetData>
  <drawing r:id="rId1"/>
</worksheet>
</file>